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susi0\Downloads\"/>
    </mc:Choice>
  </mc:AlternateContent>
  <xr:revisionPtr revIDLastSave="0" documentId="8_{381136BA-FAC4-4CC1-8576-8325A3AA1ADC}" xr6:coauthVersionLast="47" xr6:coauthVersionMax="47" xr10:uidLastSave="{00000000-0000-0000-0000-000000000000}"/>
  <bookViews>
    <workbookView xWindow="-103" yWindow="-103" windowWidth="21806" windowHeight="13886" tabRatio="500" firstSheet="1" activeTab="1" xr2:uid="{00000000-000D-0000-FFFF-FFFF00000000}"/>
  </bookViews>
  <sheets>
    <sheet name="Dashboard" sheetId="1" r:id="rId1"/>
    <sheet name="Inputs" sheetId="2" r:id="rId2"/>
    <sheet name="Blotter" sheetId="3" r:id="rId3"/>
    <sheet name="Market Orders" sheetId="4" r:id="rId4"/>
    <sheet name="Desk Summary" sheetId="5" r:id="rId5"/>
    <sheet name="Cost Savings" sheetId="6" r:id="rId6"/>
    <sheet name="Back Office Orders" sheetId="7" r:id="rId7"/>
    <sheet name="Reports" sheetId="8" r:id="rId8"/>
    <sheet name="Setup" sheetId="9" r:id="rId9"/>
  </sheets>
  <definedNames>
    <definedName name="ClearBroker">Inputs!$E$16</definedName>
    <definedName name="ContractNotional">Inputs!$E$14</definedName>
    <definedName name="CrossingFee">Inputs!$E$8</definedName>
    <definedName name="Currency">Inputs!$E$20</definedName>
    <definedName name="DecCode">Inputs!$E$13</definedName>
    <definedName name="ExecBroker">Inputs!$E$15</definedName>
    <definedName name="HalfSpreadTicks">Inputs!$E$6</definedName>
    <definedName name="ImpactTicks">Inputs!$E$7</definedName>
    <definedName name="_xlnm.Print_Area" localSheetId="7">Reports!$A$1:$J$45</definedName>
    <definedName name="SepCode">Inputs!$E$12</definedName>
    <definedName name="TickValue">Inputs!$E$5</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C18" i="1" l="1"/>
  <c r="C17" i="1"/>
  <c r="B13" i="1"/>
  <c r="H9" i="1"/>
  <c r="F9" i="1"/>
  <c r="D9" i="1"/>
  <c r="B9" i="1"/>
</calcChain>
</file>

<file path=xl/sharedStrings.xml><?xml version="1.0" encoding="utf-8"?>
<sst xmlns="http://schemas.openxmlformats.org/spreadsheetml/2006/main" count="301" uniqueCount="122">
  <si>
    <t>Bond Futures Roll — Internalization Dashboard</t>
  </si>
  <si>
    <t>Quarterly Sep26 → Dec26 roll  |  macro-driven desk netting to minimize market execution cost</t>
  </si>
  <si>
    <t>How it works</t>
  </si>
  <si>
    <t>The RunNetting macro (Inputs tab) crosses long-rollers against short-rollers internally, largest clip first, then sends only the unavoidable net imbalance to the market as a single Sep26/Dec26 calendar spread. That residual equals |Σlongs − Σshorts| — the smallest ticket possible, so this is cost-optimal execution, not a heuristic.</t>
  </si>
  <si>
    <t>GROSS VOLUME TO ROLL</t>
  </si>
  <si>
    <t>INTERNALLY CROSSED</t>
  </si>
  <si>
    <t>SENT TO MARKET</t>
  </si>
  <si>
    <t>NET $ SAVED</t>
  </si>
  <si>
    <t>Scenario</t>
  </si>
  <si>
    <t>Execution Cost ($)</t>
  </si>
  <si>
    <t>No netting</t>
  </si>
  <si>
    <t>With netting</t>
  </si>
  <si>
    <t>These KPIs and the chart re-read the Cost Savings tab live, so they refresh the instant the RunNetting macro finishes -- no manual copy/paste.</t>
  </si>
  <si>
    <t>Bond Futures Roll — Desk Positions</t>
  </si>
  <si>
    <t>Sep26 → Dec26  |  edit positions below, or add a new desk in the row right beneath the table</t>
  </si>
  <si>
    <t>Desk</t>
  </si>
  <si>
    <t>Cost Assumptions</t>
  </si>
  <si>
    <t>Tick value ($/contract)</t>
  </si>
  <si>
    <t>Half bid/offer spread (ticks)</t>
  </si>
  <si>
    <t>Market impact (ticks/contract)</t>
  </si>
  <si>
    <t>Internal crossing / booking fee ($/contract)</t>
  </si>
  <si>
    <t>The roll trades as one simultaneous buy/sell spread order, so this spread+impact cost is paid once per contract rolled, not once per leg.</t>
  </si>
  <si>
    <t>Back-Office Reference Data</t>
  </si>
  <si>
    <t>Sep26 contract code</t>
  </si>
  <si>
    <t>TYU6</t>
  </si>
  <si>
    <t>▶  Run Netting  (Alt+F8 → RunNetting)</t>
  </si>
  <si>
    <t>Dec26 contract code</t>
  </si>
  <si>
    <t>TYZ6</t>
  </si>
  <si>
    <t>Contract notional (face value / lot)</t>
  </si>
  <si>
    <t>Executing broker (market/street orders)</t>
  </si>
  <si>
    <t>Clearing broker (all orders)</t>
  </si>
  <si>
    <t>Product &amp; Currency</t>
  </si>
  <si>
    <t>Product / underlying</t>
  </si>
  <si>
    <t>10-Year Note</t>
  </si>
  <si>
    <t>Currency</t>
  </si>
  <si>
    <t>This tab is the macro's only input. Positions live in the DeskTable Excel Table (auto-expands — type a desk in the row right below the last one and it joins the table automatically); every number/code above is a named range the macro reads directly, including the contract codes, broker fields and the Currency dropdown (GBP / EUR / USD — every $ figure the macro writes switches symbol to match, so this one workbook covers a Gilt roll, a Bund roll, or a UST roll). Run the netting engine from the ▶ Run Netting button, or press Alt+F8 and run RunNetting. See the Setup tab once, first.</t>
  </si>
  <si>
    <t>Internal Crossing Blotter — front &amp; back month legs</t>
  </si>
  <si>
    <t>Cross ID</t>
  </si>
  <si>
    <t>Leg</t>
  </si>
  <si>
    <t>Desk Sells</t>
  </si>
  <si>
    <t>Desk Buys</t>
  </si>
  <si>
    <t>Qty</t>
  </si>
  <si>
    <t>Note</t>
  </si>
  <si>
    <t>Long-roller sells the front month to the short-roller</t>
  </si>
  <si>
    <t>Offsetting leg: short-roller sells the new front month back</t>
  </si>
  <si>
    <t>Residual Market Order(s)</t>
  </si>
  <si>
    <t>Order</t>
  </si>
  <si>
    <t>Qty (lots)</t>
  </si>
  <si>
    <t>Desk Summary</t>
  </si>
  <si>
    <t>Position</t>
  </si>
  <si>
    <t>Roll Type</t>
  </si>
  <si>
    <t>Roll Qty</t>
  </si>
  <si>
    <t>Internally Matched</t>
  </si>
  <si>
    <t>Market Residual</t>
  </si>
  <si>
    <t>LONG</t>
  </si>
  <si>
    <t>SHORT</t>
  </si>
  <si>
    <t>Execution Cost Savings</t>
  </si>
  <si>
    <t>Gross long contracts</t>
  </si>
  <si>
    <t>Gross short contracts</t>
  </si>
  <si>
    <t>Gross roll volume (contracts)</t>
  </si>
  <si>
    <t>Internally matched (contracts)</t>
  </si>
  <si>
    <t>Net residual to market (contracts)</t>
  </si>
  <si>
    <t>Savings %</t>
  </si>
  <si>
    <t>Internal tickets</t>
  </si>
  <si>
    <t>Last run</t>
  </si>
  <si>
    <t>Back Office Orders — copy/paste ticket list</t>
  </si>
  <si>
    <t>Contract</t>
  </si>
  <si>
    <t>Quantity</t>
  </si>
  <si>
    <t>Price</t>
  </si>
  <si>
    <t>Book</t>
  </si>
  <si>
    <t>Counterparty</t>
  </si>
  <si>
    <t>Size</t>
  </si>
  <si>
    <t>Executing Broker</t>
  </si>
  <si>
    <t>Clearing Broker</t>
  </si>
  <si>
    <t>Internal Cross</t>
  </si>
  <si>
    <t>House Roll Book</t>
  </si>
  <si>
    <t>Street / TBD</t>
  </si>
  <si>
    <t>Quarterly Roll Report</t>
  </si>
  <si>
    <t>Distribute-ready summary  |  rebuilt automatically every time RunNetting runs</t>
  </si>
  <si>
    <t>Gross volume: 3,750 lots   |   Internalized: 3,300   |   To market: 450   |   Net saved: $38,672 (88.0%)</t>
  </si>
  <si>
    <t>Volume</t>
  </si>
  <si>
    <t>Internalized</t>
  </si>
  <si>
    <t>To Market</t>
  </si>
  <si>
    <t>Execution Cost</t>
  </si>
  <si>
    <t>These are native Excel charts bound to the Desk Summary and Cost Savings tabs, so they update automatically after every RunNetting run -- screenshot or print this tab (landscape, fits one page) to circulate on the floor.</t>
  </si>
  <si>
    <t>One-Time Setup — Enable the Netting Macro</t>
  </si>
  <si>
    <t>1.  File &gt; Save As, and choose "Excel Macro-Enabled Workbook (*.xlsm)" as the file type.</t>
  </si>
  <si>
    <t>2.  Press Alt+F11 to open the VBA editor.</t>
  </si>
  <si>
    <t>3.  Right-click the workbook in the Project pane &gt; Insert &gt; Module.</t>
  </si>
  <si>
    <t>4.  Open roll_netting_macro.bas in a text editor, copy all of it, and paste it into the new module (or File &gt; Import File... and pick the .bas directly).</t>
  </si>
  <si>
    <t>5.  Close the VBA editor. Go to Developer tab &gt; Insert &gt; Button (Form Control), draw a button anywhere on the Inputs tab, and when prompted assign it to macro "RunNetting". (No Developer tab? File &gt; Options &gt; Customize Ribbon &gt; tick Developer.)</t>
  </si>
  <si>
    <t>6.  Set the Currency dropdown on the Inputs tab (GBP / EUR / USD) to whatever this future is quoted in, and fill in the contract codes / notional / brokers below it -- this is what feeds the Back Office Orders tab and every currency symbol the macro prints.</t>
  </si>
  <si>
    <t>7.  Edit desk positions in the DeskTable on the Inputs tab (or add a new desk in the row right below the table -- it auto-joins), then click your button (or Alt+F8 &gt; RunNetting &gt; Run).</t>
  </si>
  <si>
    <t>8.  Blotter, Market Orders, Desk Summary, Cost Savings, Back Office Orders and Reports all rewrite themselves; the Dashboard updates automatically since it reads Cost Savings live. Re-run any time after changing positions -- the macro cleans up after itself, so repeated runs are safe.</t>
  </si>
  <si>
    <t>9.  The Reports tab is landscape and print-area'd to one page -- File &gt; Print (or screenshot) to circulate it.</t>
  </si>
  <si>
    <t>If Excel blocks the macro on open: File &gt; Options &gt; Trust Center &gt; Trust Center Settings &gt; Macro Settings &gt; "Disable all macros with notification", then click "Enable Content" in the yellow bar when you open the file.</t>
  </si>
  <si>
    <t>GBP</t>
  </si>
  <si>
    <t>INT</t>
  </si>
  <si>
    <t>Options</t>
  </si>
  <si>
    <t>STIR</t>
  </si>
  <si>
    <t>Flow</t>
  </si>
  <si>
    <t>Management</t>
  </si>
  <si>
    <t>Inflation</t>
  </si>
  <si>
    <t>XCCY</t>
  </si>
  <si>
    <t>EUR</t>
  </si>
  <si>
    <t>The roll trades as one simultaneous buy/sell spread order, so the market spread/impact is paid once per contract rolled, not once per leg. "Internally matched" counts both sides (adds up to gross volume with the residual); the Blotter lists each cross at its single-sided size.</t>
  </si>
  <si>
    <t>Cost per contract (one spread execution)</t>
  </si>
  <si>
    <t>Cost -- no netting</t>
  </si>
  <si>
    <t>Internal crossing cost</t>
  </si>
  <si>
    <t>Cost -- with netting</t>
  </si>
  <si>
    <t>NET savings</t>
  </si>
  <si>
    <t>Verified: this residual is fully netted -- checked programmatically that no opposite-signed position remains internally (see RunNetting's residual assertion). It will NOT shrink by re-running unless the DeskTable positions themselves change -- the macro always recomputes from whatever is currently in DeskTable, it doesn't remember what was already executed. Once this order fills in the market, update or clear those desks' positions in DeskTable before the next run, or this same residual will reappear.</t>
  </si>
  <si>
    <t>BUY TYU6 / SELL TYZ6 (roll spread — one simultaneous execution)</t>
  </si>
  <si>
    <t>Net short imbalance -- unmatched short-rollers execute in the market</t>
  </si>
  <si>
    <t>Trade Ref</t>
  </si>
  <si>
    <t>X-1</t>
  </si>
  <si>
    <t>X-2</t>
  </si>
  <si>
    <t>X-3</t>
  </si>
  <si>
    <t>X-4</t>
  </si>
  <si>
    <t>X-5</t>
  </si>
  <si>
    <t>M-2</t>
  </si>
  <si>
    <t xml:space="preserve">Position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</si>
</sst>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0;&quot;($&quot;#,##0\);\-"/>
    <numFmt numFmtId="166" formatCode="\$#,##0.000;&quot;($&quot;#,##0.000\);\-"/>
    <numFmt numFmtId="167" formatCode="0.0%"/>
    <numFmt numFmtId="168" formatCode="yyyy\-mm\-dd\ hh:mm"/>
    <numFmt numFmtId="169" formatCode="\£#,##0.000;\(\£#,##0.000\)"/>
    <numFmt numFmtId="170" formatCode="\£#,##0;\(\£#,##0\)"/>
    <numFmt numFmtId="171" formatCode="#,##0;\(#,##0\)"/>
  </numFmts>
  <fonts count="20" x14ac:knownFonts="1">
    <font>
      <sz val="11"/>
      <color theme="1"/>
      <name val="Calibri"/>
      <family val="2"/>
      <charset val="1"/>
    </font>
    <font>
      <b/>
      <sz val="16"/>
      <color rgb="FFFFFFFF"/>
      <name val="Arial"/>
      <family val="2"/>
    </font>
    <font>
      <i/>
      <sz val="10"/>
      <color rgb="FFC9D4E3"/>
      <name val="Arial"/>
      <family val="2"/>
    </font>
    <font>
      <b/>
      <sz val="13"/>
      <color rgb="FF0A2240"/>
      <name val="Arial"/>
      <family val="2"/>
    </font>
    <font>
      <sz val="10"/>
      <color rgb="FF404040"/>
      <name val="Arial"/>
      <family val="2"/>
    </font>
    <font>
      <b/>
      <sz val="9"/>
      <color rgb="FF1B57B8"/>
      <name val="Arial"/>
      <family val="2"/>
    </font>
    <font>
      <b/>
      <sz val="9"/>
      <color rgb="FFC17817"/>
      <name val="Arial"/>
      <family val="2"/>
    </font>
    <font>
      <b/>
      <sz val="9"/>
      <color rgb="FF0A2240"/>
      <name val="Arial"/>
      <family val="2"/>
    </font>
    <font>
      <b/>
      <sz val="20"/>
      <color rgb="FFFFFFFF"/>
      <name val="Arial"/>
      <family val="2"/>
    </font>
    <font>
      <b/>
      <i/>
      <sz val="11"/>
      <color rgb="FF0A2240"/>
      <name val="Arial"/>
      <family val="2"/>
    </font>
    <font>
      <b/>
      <sz val="10"/>
      <color rgb="FFFFFFFF"/>
      <name val="Arial"/>
      <family val="2"/>
    </font>
    <font>
      <i/>
      <sz val="9"/>
      <color rgb="FF808080"/>
      <name val="Arial"/>
      <family val="2"/>
    </font>
    <font>
      <sz val="11"/>
      <color rgb="FF0000FF"/>
      <name val="Arial"/>
      <family val="2"/>
    </font>
    <font>
      <b/>
      <sz val="11"/>
      <color rgb="FFFFFFFF"/>
      <name val="Arial"/>
      <family val="2"/>
    </font>
    <font>
      <b/>
      <sz val="11"/>
      <color rgb="FF0A2240"/>
      <name val="Arial"/>
      <family val="2"/>
    </font>
    <font>
      <b/>
      <sz val="14"/>
      <color theme="1"/>
      <name val="Calibri"/>
      <family val="2"/>
    </font>
    <font>
      <b/>
      <sz val="11"/>
      <color rgb="FFFFFFFF"/>
      <name val="Calibri"/>
      <family val="2"/>
    </font>
    <font>
      <i/>
      <sz val="9"/>
      <color theme="1"/>
      <name val="Calibri"/>
      <family val="2"/>
    </font>
    <font>
      <sz val="11"/>
      <color rgb="FFFFFFFF"/>
      <name val="Calibri"/>
      <family val="2"/>
      <charset val="1"/>
    </font>
    <font>
      <i/>
      <sz val="9"/>
      <color rgb="FF808080"/>
      <name val="Calibri"/>
      <family val="2"/>
    </font>
  </fonts>
  <fills count="7">
    <fill>
      <patternFill patternType="none"/>
    </fill>
    <fill>
      <patternFill patternType="gray125"/>
    </fill>
    <fill>
      <patternFill patternType="solid">
        <fgColor rgb="FF0A2240"/>
        <bgColor rgb="FF003300"/>
      </patternFill>
    </fill>
    <fill>
      <patternFill patternType="solid">
        <fgColor rgb="FF1B57B8"/>
        <bgColor rgb="FF3366FF"/>
      </patternFill>
    </fill>
    <fill>
      <patternFill patternType="solid">
        <fgColor rgb="FFC17817"/>
        <bgColor rgb="FFFF6600"/>
      </patternFill>
    </fill>
    <fill>
      <patternFill patternType="solid">
        <fgColor rgb="FFFFF2CC"/>
        <bgColor rgb="FFF9F9F9"/>
      </patternFill>
    </fill>
    <fill>
      <patternFill patternType="solid">
        <fgColor rgb="FF1B57B8"/>
        <bgColor indexed="64"/>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46">
    <xf numFmtId="0" fontId="0" fillId="0" borderId="0" xfId="0"/>
    <xf numFmtId="0" fontId="14" fillId="0" borderId="0" xfId="0" applyFont="1"/>
    <xf numFmtId="0" fontId="13" fillId="4" borderId="0" xfId="0" applyFont="1" applyFill="1" applyAlignment="1">
      <alignment horizontal="center" vertical="center"/>
    </xf>
    <xf numFmtId="0" fontId="11" fillId="0" borderId="0" xfId="0" applyFont="1" applyAlignment="1">
      <alignment wrapText="1"/>
    </xf>
    <xf numFmtId="0" fontId="11" fillId="0" borderId="0" xfId="0" applyFont="1" applyAlignment="1">
      <alignment vertical="top" wrapText="1"/>
    </xf>
    <xf numFmtId="0" fontId="9" fillId="0" borderId="0" xfId="0" applyFont="1" applyAlignment="1">
      <alignment horizontal="center"/>
    </xf>
    <xf numFmtId="165" fontId="8" fillId="2" borderId="0" xfId="0" applyNumberFormat="1" applyFont="1" applyFill="1" applyAlignment="1">
      <alignment horizontal="center" vertical="center"/>
    </xf>
    <xf numFmtId="164" fontId="8" fillId="4" borderId="0" xfId="0" applyNumberFormat="1" applyFont="1" applyFill="1" applyAlignment="1">
      <alignment horizontal="center" vertical="center"/>
    </xf>
    <xf numFmtId="164" fontId="8" fillId="3" borderId="0" xfId="0" applyNumberFormat="1" applyFont="1" applyFill="1" applyAlignment="1">
      <alignment horizontal="center" vertical="center"/>
    </xf>
    <xf numFmtId="0" fontId="7" fillId="0" borderId="0" xfId="0" applyFont="1" applyAlignment="1">
      <alignment horizontal="center"/>
    </xf>
    <xf numFmtId="0" fontId="6" fillId="0" borderId="0" xfId="0" applyFont="1" applyAlignment="1">
      <alignment horizontal="center"/>
    </xf>
    <xf numFmtId="0" fontId="5" fillId="0" borderId="0" xfId="0" applyFont="1" applyAlignment="1">
      <alignment horizontal="center"/>
    </xf>
    <xf numFmtId="0" fontId="4" fillId="0" borderId="0" xfId="0" applyFont="1" applyAlignment="1">
      <alignment vertical="top" wrapText="1"/>
    </xf>
    <xf numFmtId="0" fontId="2" fillId="2" borderId="0" xfId="0" applyFont="1" applyFill="1" applyAlignment="1">
      <alignment horizontal="left" vertical="center" indent="1"/>
    </xf>
    <xf numFmtId="0" fontId="1" fillId="2" borderId="0" xfId="0" applyFont="1" applyFill="1" applyAlignment="1">
      <alignment horizontal="left" vertical="center" indent="1"/>
    </xf>
    <xf numFmtId="0" fontId="1" fillId="2" borderId="0" xfId="0" applyFont="1" applyFill="1" applyAlignment="1">
      <alignment horizontal="left" vertical="center" indent="1"/>
    </xf>
    <xf numFmtId="0" fontId="3" fillId="0" borderId="0" xfId="0" applyFont="1"/>
    <xf numFmtId="0" fontId="4" fillId="0" borderId="0" xfId="0" applyFont="1" applyAlignment="1">
      <alignment vertical="top" wrapText="1"/>
    </xf>
    <xf numFmtId="0" fontId="10" fillId="3" borderId="1" xfId="0" applyFont="1" applyFill="1" applyBorder="1" applyAlignment="1">
      <alignment horizontal="center" vertical="center" wrapText="1"/>
    </xf>
    <xf numFmtId="0" fontId="0" fillId="0" borderId="1" xfId="0" applyBorder="1"/>
    <xf numFmtId="165" fontId="0" fillId="0" borderId="1" xfId="0" applyNumberFormat="1" applyBorder="1"/>
    <xf numFmtId="0" fontId="3" fillId="0" borderId="1" xfId="0" applyFont="1" applyBorder="1" applyAlignment="1">
      <alignment horizontal="left"/>
    </xf>
    <xf numFmtId="0" fontId="12" fillId="0" borderId="0" xfId="0" applyFont="1"/>
    <xf numFmtId="164" fontId="12" fillId="5" borderId="0" xfId="0" applyNumberFormat="1" applyFont="1" applyFill="1"/>
    <xf numFmtId="0" fontId="4" fillId="0" borderId="1" xfId="0" applyFont="1" applyBorder="1"/>
    <xf numFmtId="166" fontId="12" fillId="5" borderId="1" xfId="0" applyNumberFormat="1" applyFont="1" applyFill="1" applyBorder="1"/>
    <xf numFmtId="164" fontId="12" fillId="5" borderId="1" xfId="0" applyNumberFormat="1" applyFont="1" applyFill="1" applyBorder="1"/>
    <xf numFmtId="0" fontId="3" fillId="0" borderId="1" xfId="0" applyFont="1" applyBorder="1"/>
    <xf numFmtId="0" fontId="12" fillId="5" borderId="1" xfId="0" applyFont="1" applyFill="1" applyBorder="1"/>
    <xf numFmtId="165" fontId="12" fillId="5" borderId="1" xfId="0" applyNumberFormat="1" applyFont="1" applyFill="1" applyBorder="1"/>
    <xf numFmtId="0" fontId="15" fillId="0" borderId="0" xfId="0" applyFont="1"/>
    <xf numFmtId="0" fontId="16" fillId="6" borderId="1" xfId="0" applyFont="1" applyFill="1" applyBorder="1"/>
    <xf numFmtId="0" fontId="17" fillId="0" borderId="0" xfId="0" applyFont="1"/>
    <xf numFmtId="169" fontId="0" fillId="0" borderId="0" xfId="0" applyNumberFormat="1"/>
    <xf numFmtId="170" fontId="0" fillId="0" borderId="0" xfId="0" applyNumberFormat="1"/>
    <xf numFmtId="167" fontId="0" fillId="0" borderId="0" xfId="0" applyNumberFormat="1"/>
    <xf numFmtId="168" fontId="0" fillId="0" borderId="0" xfId="0" applyNumberFormat="1"/>
    <xf numFmtId="171" fontId="0" fillId="0" borderId="0" xfId="0" applyNumberFormat="1"/>
    <xf numFmtId="171" fontId="16" fillId="6" borderId="1" xfId="0" applyNumberFormat="1" applyFont="1" applyFill="1" applyBorder="1"/>
    <xf numFmtId="171" fontId="0" fillId="0" borderId="1" xfId="0" applyNumberFormat="1" applyBorder="1"/>
    <xf numFmtId="170" fontId="16" fillId="6" borderId="1" xfId="0" applyNumberFormat="1" applyFont="1" applyFill="1" applyBorder="1"/>
    <xf numFmtId="170" fontId="0" fillId="0" borderId="1" xfId="0" applyNumberFormat="1" applyBorder="1"/>
    <xf numFmtId="170" fontId="8" fillId="2" borderId="0" xfId="0" applyNumberFormat="1" applyFont="1" applyFill="1" applyAlignment="1">
      <alignment horizontal="center" vertical="center"/>
    </xf>
    <xf numFmtId="0" fontId="18" fillId="0" borderId="0" xfId="0" applyFont="1"/>
    <xf numFmtId="170" fontId="18" fillId="0" borderId="0" xfId="0" applyNumberFormat="1" applyFont="1"/>
    <xf numFmtId="0" fontId="19" fillId="0" borderId="0" xfId="0" applyFont="1" applyAlignment="1">
      <alignment wrapText="1"/>
    </xf>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C17817"/>
      <rgbColor rgb="FF800080"/>
      <rgbColor rgb="FF008080"/>
      <rgbColor rgb="FFBFBFBF"/>
      <rgbColor rgb="FF808080"/>
      <rgbColor rgb="FF9999FF"/>
      <rgbColor rgb="FF993366"/>
      <rgbColor rgb="FFFFF2CC"/>
      <rgbColor rgb="FFF9F9F9"/>
      <rgbColor rgb="FF660066"/>
      <rgbColor rgb="FFFF8080"/>
      <rgbColor rgb="FF1B57B8"/>
      <rgbColor rgb="FFC9D4E3"/>
      <rgbColor rgb="FF000080"/>
      <rgbColor rgb="FFFF00FF"/>
      <rgbColor rgb="FFFFFF00"/>
      <rgbColor rgb="FF00FFFF"/>
      <rgbColor rgb="FF800080"/>
      <rgbColor rgb="FF800000"/>
      <rgbColor rgb="FF008080"/>
      <rgbColor rgb="FF0000FF"/>
      <rgbColor rgb="FF00CCFF"/>
      <rgbColor rgb="FFCCFFFF"/>
      <rgbColor rgb="FFE2EFDA"/>
      <rgbColor rgb="FFFFFF99"/>
      <rgbColor rgb="FF99CCFF"/>
      <rgbColor rgb="FFFF99CC"/>
      <rgbColor rgb="FFCC99FF"/>
      <rgbColor rgb="FFD9D9D9"/>
      <rgbColor rgb="FF3366FF"/>
      <rgbColor rgb="FF33CCCC"/>
      <rgbColor rgb="FF99CC00"/>
      <rgbColor rgb="FFFFCC00"/>
      <rgbColor rgb="FFFF9900"/>
      <rgbColor rgb="FFFF6600"/>
      <rgbColor rgb="FF4F81BD"/>
      <rgbColor rgb="FF878787"/>
      <rgbColor rgb="FF0A2240"/>
      <rgbColor rgb="FF339966"/>
      <rgbColor rgb="FF003300"/>
      <rgbColor rgb="FF333300"/>
      <rgbColor rgb="FFA6192E"/>
      <rgbColor rgb="FF993366"/>
      <rgbColor rgb="FF333399"/>
      <rgbColor rgb="FF404040"/>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c:style val="2"/>
  <c:chart>
    <c:title>
      <c:tx>
        <c:rich>
          <a:bodyPr rot="0"/>
          <a:lstStyle/>
          <a:p>
            <a:pPr>
              <a:defRPr sz="1800" b="1" strike="noStrike" spc="-1">
                <a:solidFill>
                  <a:srgbClr val="000000"/>
                </a:solidFill>
                <a:latin typeface="Calibri"/>
              </a:defRPr>
            </a:pPr>
            <a:r>
              <a:rPr lang="es-ES" sz="1800" b="1" strike="noStrike" spc="-1">
                <a:solidFill>
                  <a:srgbClr val="000000"/>
                </a:solidFill>
                <a:latin typeface="Calibri"/>
              </a:rPr>
              <a:t>Execution Cost: No Netting vs. Internalized Netting</a:t>
            </a:r>
          </a:p>
        </c:rich>
      </c:tx>
      <c:overlay val="0"/>
      <c:spPr>
        <a:noFill/>
        <a:ln w="0">
          <a:noFill/>
        </a:ln>
      </c:spPr>
    </c:title>
    <c:autoTitleDeleted val="0"/>
    <c:plotArea>
      <c:layout/>
      <c:barChart>
        <c:barDir val="col"/>
        <c:grouping val="clustered"/>
        <c:varyColors val="0"/>
        <c:ser>
          <c:idx val="0"/>
          <c:order val="0"/>
          <c:tx>
            <c:strRef>
              <c:f>Dashboard!$C$16</c:f>
              <c:strCache>
                <c:ptCount val="1"/>
                <c:pt idx="0">
                  <c:v>Execution Cost ($)</c:v>
                </c:pt>
              </c:strCache>
            </c:strRef>
          </c:tx>
          <c:spPr>
            <a:solidFill>
              <a:srgbClr val="4F81BD"/>
            </a:solidFill>
            <a:ln w="9360">
              <a:solidFill>
                <a:srgbClr val="F9F9F9"/>
              </a:solidFill>
              <a:round/>
            </a:ln>
          </c:spPr>
          <c:invertIfNegative val="0"/>
          <c:dLbls>
            <c:spPr>
              <a:noFill/>
              <a:ln>
                <a:noFill/>
              </a:ln>
              <a:effectLst/>
            </c:spPr>
            <c:txPr>
              <a:bodyPr wrap="square"/>
              <a:lstStyle/>
              <a:p>
                <a:pPr>
                  <a:defRPr sz="1000" b="0" strike="noStrike" spc="-1">
                    <a:solidFill>
                      <a:srgbClr val="000000"/>
                    </a:solidFill>
                    <a:latin typeface="Calibri"/>
                  </a:defRPr>
                </a:pPr>
                <a:endParaRPr lang="es-ES"/>
              </a:p>
            </c:txPr>
            <c:dLblPos val="outEnd"/>
            <c:showLegendKey val="1"/>
            <c:showVal val="1"/>
            <c:showCatName val="1"/>
            <c:showSerName val="1"/>
            <c:showPercent val="0"/>
            <c:showBubbleSize val="1"/>
            <c:separator>; </c:separator>
            <c:showLeaderLines val="0"/>
            <c:extLst>
              <c:ext xmlns:c15="http://schemas.microsoft.com/office/drawing/2012/chart" uri="{CE6537A1-D6FC-4f65-9D91-7224C49458BB}">
                <c15:showLeaderLines val="1"/>
              </c:ext>
            </c:extLst>
          </c:dLbls>
          <c:cat>
            <c:strRef>
              <c:f>Dashboard!$B$17:$B$18</c:f>
              <c:strCache>
                <c:ptCount val="2"/>
                <c:pt idx="0">
                  <c:v>No netting</c:v>
                </c:pt>
                <c:pt idx="1">
                  <c:v>With netting</c:v>
                </c:pt>
              </c:strCache>
            </c:strRef>
          </c:cat>
          <c:val>
            <c:numRef>
              <c:f>Dashboard!$C$17:$C$18</c:f>
              <c:numCache>
                <c:formatCode>\$#,##0;"($"#,##0\);\-</c:formatCode>
                <c:ptCount val="2"/>
                <c:pt idx="0">
                  <c:v>492515.625</c:v>
                </c:pt>
                <c:pt idx="1">
                  <c:v>35250</c:v>
                </c:pt>
              </c:numCache>
            </c:numRef>
          </c:val>
          <c:extLst>
            <c:ext xmlns:c16="http://schemas.microsoft.com/office/drawing/2014/chart" uri="{C3380CC4-5D6E-409C-BE32-E72D297353CC}">
              <c16:uniqueId val="{00000000-42E0-4832-8848-635BEE991AD8}"/>
            </c:ext>
          </c:extLst>
        </c:ser>
        <c:dLbls>
          <c:showLegendKey val="0"/>
          <c:showVal val="0"/>
          <c:showCatName val="0"/>
          <c:showSerName val="0"/>
          <c:showPercent val="0"/>
          <c:showBubbleSize val="0"/>
        </c:dLbls>
        <c:gapWidth val="150"/>
        <c:axId val="88351375"/>
        <c:axId val="31358953"/>
      </c:barChart>
      <c:catAx>
        <c:axId val="88351375"/>
        <c:scaling>
          <c:orientation val="minMax"/>
        </c:scaling>
        <c:delete val="0"/>
        <c:axPos val="b"/>
        <c:numFmt formatCode="General"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s-ES"/>
          </a:p>
        </c:txPr>
        <c:crossAx val="31358953"/>
        <c:crosses val="autoZero"/>
        <c:auto val="1"/>
        <c:lblAlgn val="ctr"/>
        <c:lblOffset val="100"/>
        <c:noMultiLvlLbl val="0"/>
      </c:catAx>
      <c:valAx>
        <c:axId val="31358953"/>
        <c:scaling>
          <c:orientation val="minMax"/>
        </c:scaling>
        <c:delete val="0"/>
        <c:axPos val="l"/>
        <c:majorGridlines>
          <c:spPr>
            <a:ln w="9360">
              <a:solidFill>
                <a:srgbClr val="878787"/>
              </a:solidFill>
              <a:round/>
            </a:ln>
          </c:spPr>
        </c:majorGridlines>
        <c:title>
          <c:tx>
            <c:rich>
              <a:bodyPr rot="-5400000"/>
              <a:lstStyle/>
              <a:p>
                <a:pPr>
                  <a:defRPr sz="1000" b="1" strike="noStrike" spc="-1">
                    <a:solidFill>
                      <a:srgbClr val="000000"/>
                    </a:solidFill>
                    <a:latin typeface="Calibri"/>
                  </a:defRPr>
                </a:pPr>
                <a:r>
                  <a:rPr lang="es-ES" sz="1000" b="1" strike="noStrike" spc="-1">
                    <a:solidFill>
                      <a:srgbClr val="000000"/>
                    </a:solidFill>
                    <a:latin typeface="Calibri"/>
                  </a:rPr>
                  <a:t>USD</a:t>
                </a:r>
              </a:p>
            </c:rich>
          </c:tx>
          <c:overlay val="0"/>
          <c:spPr>
            <a:noFill/>
            <a:ln w="0">
              <a:noFill/>
            </a:ln>
          </c:spPr>
        </c:title>
        <c:numFmt formatCode="\$#,##0;&quot;($&quot;#,##0\);\-"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s-ES"/>
          </a:p>
        </c:txPr>
        <c:crossAx val="88351375"/>
        <c:crosses val="autoZero"/>
        <c:crossBetween val="between"/>
      </c:valAx>
      <c:spPr>
        <a:noFill/>
        <a:ln w="0">
          <a:noFill/>
        </a:ln>
      </c:spPr>
    </c:plotArea>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pPr>
            <a:r>
              <a:rPr lang="es-ES"/>
              <a:t>Desk Positions</a:t>
            </a:r>
          </a:p>
        </c:rich>
      </c:tx>
      <c:overlay val="0"/>
    </c:title>
    <c:autoTitleDeleted val="0"/>
    <c:plotArea>
      <c:layout/>
      <c:barChart>
        <c:barDir val="bar"/>
        <c:grouping val="clustered"/>
        <c:varyColors val="0"/>
        <c:ser>
          <c:idx val="0"/>
          <c:order val="0"/>
          <c:spPr>
            <a:solidFill>
              <a:srgbClr val="1B57B8"/>
            </a:solidFill>
          </c:spPr>
          <c:invertIfNegative val="0"/>
          <c:cat>
            <c:strRef>
              <c:f>'Desk Summary'!$A$4:$A$10</c:f>
              <c:strCache>
                <c:ptCount val="7"/>
                <c:pt idx="0">
                  <c:v>Options</c:v>
                </c:pt>
                <c:pt idx="1">
                  <c:v>STIR</c:v>
                </c:pt>
                <c:pt idx="2">
                  <c:v>Flow</c:v>
                </c:pt>
                <c:pt idx="3">
                  <c:v>Management</c:v>
                </c:pt>
                <c:pt idx="4">
                  <c:v>Inflation</c:v>
                </c:pt>
                <c:pt idx="5">
                  <c:v>XCCY</c:v>
                </c:pt>
                <c:pt idx="6">
                  <c:v>EUR</c:v>
                </c:pt>
              </c:strCache>
            </c:strRef>
          </c:cat>
          <c:val>
            <c:numRef>
              <c:f>'Desk Summary'!$B$4:$B$10</c:f>
              <c:numCache>
                <c:formatCode>General</c:formatCode>
                <c:ptCount val="7"/>
                <c:pt idx="0">
                  <c:v>12000</c:v>
                </c:pt>
                <c:pt idx="1">
                  <c:v>-8000</c:v>
                </c:pt>
                <c:pt idx="2">
                  <c:v>4502</c:v>
                </c:pt>
                <c:pt idx="3">
                  <c:v>-6009</c:v>
                </c:pt>
                <c:pt idx="4">
                  <c:v>3008</c:v>
                </c:pt>
                <c:pt idx="5">
                  <c:v>-2509</c:v>
                </c:pt>
                <c:pt idx="6">
                  <c:v>-6000</c:v>
                </c:pt>
              </c:numCache>
            </c:numRef>
          </c:val>
          <c:extLst>
            <c:ext xmlns:c16="http://schemas.microsoft.com/office/drawing/2014/chart" uri="{C3380CC4-5D6E-409C-BE32-E72D297353CC}">
              <c16:uniqueId val="{00000002-DBE7-4D7C-9726-121CD9A7AC26}"/>
            </c:ext>
          </c:extLst>
        </c:ser>
        <c:dLbls>
          <c:showLegendKey val="0"/>
          <c:showVal val="0"/>
          <c:showCatName val="0"/>
          <c:showSerName val="0"/>
          <c:showPercent val="0"/>
          <c:showBubbleSize val="0"/>
        </c:dLbls>
        <c:gapWidth val="150"/>
        <c:axId val="1965333920"/>
        <c:axId val="139295264"/>
      </c:barChart>
      <c:catAx>
        <c:axId val="1965333920"/>
        <c:scaling>
          <c:orientation val="minMax"/>
        </c:scaling>
        <c:delete val="0"/>
        <c:axPos val="l"/>
        <c:numFmt formatCode="General" sourceLinked="1"/>
        <c:majorTickMark val="out"/>
        <c:minorTickMark val="none"/>
        <c:tickLblPos val="nextTo"/>
        <c:crossAx val="139295264"/>
        <c:crosses val="autoZero"/>
        <c:auto val="1"/>
        <c:lblAlgn val="ctr"/>
        <c:lblOffset val="100"/>
        <c:noMultiLvlLbl val="0"/>
      </c:catAx>
      <c:valAx>
        <c:axId val="139295264"/>
        <c:scaling>
          <c:orientation val="minMax"/>
        </c:scaling>
        <c:delete val="0"/>
        <c:axPos val="b"/>
        <c:majorGridlines/>
        <c:numFmt formatCode="General" sourceLinked="1"/>
        <c:majorTickMark val="out"/>
        <c:minorTickMark val="none"/>
        <c:tickLblPos val="nextTo"/>
        <c:crossAx val="1965333920"/>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pPr>
            <a:r>
              <a:rPr lang="es-ES"/>
              <a:t>Roll Volume: Internalized vs. Market</a:t>
            </a:r>
          </a:p>
        </c:rich>
      </c:tx>
      <c:overlay val="0"/>
    </c:title>
    <c:autoTitleDeleted val="0"/>
    <c:plotArea>
      <c:layout/>
      <c:pieChart>
        <c:varyColors val="1"/>
        <c:ser>
          <c:idx val="0"/>
          <c:order val="0"/>
          <c:dPt>
            <c:idx val="0"/>
            <c:bubble3D val="0"/>
            <c:spPr>
              <a:solidFill>
                <a:srgbClr val="1B57B8"/>
              </a:solidFill>
            </c:spPr>
            <c:extLst>
              <c:ext xmlns:c16="http://schemas.microsoft.com/office/drawing/2014/chart" uri="{C3380CC4-5D6E-409C-BE32-E72D297353CC}">
                <c16:uniqueId val="{00000003-C271-49A9-B3A1-506B3BB2E414}"/>
              </c:ext>
            </c:extLst>
          </c:dPt>
          <c:dPt>
            <c:idx val="1"/>
            <c:bubble3D val="0"/>
            <c:spPr>
              <a:solidFill>
                <a:srgbClr val="C17814"/>
              </a:solidFill>
            </c:spPr>
            <c:extLst>
              <c:ext xmlns:c16="http://schemas.microsoft.com/office/drawing/2014/chart" uri="{C3380CC4-5D6E-409C-BE32-E72D297353CC}">
                <c16:uniqueId val="{00000004-C271-49A9-B3A1-506B3BB2E414}"/>
              </c:ext>
            </c:extLst>
          </c:dPt>
          <c:dLbls>
            <c:numFmt formatCode="#,##0" sourceLinked="0"/>
            <c:spPr>
              <a:noFill/>
              <a:ln>
                <a:noFill/>
              </a:ln>
              <a:effectLst/>
            </c:spPr>
            <c:showLegendKey val="0"/>
            <c:showVal val="1"/>
            <c:showCatName val="0"/>
            <c:showSerName val="0"/>
            <c:showPercent val="1"/>
            <c:showBubbleSize val="0"/>
            <c:showLeaderLines val="1"/>
            <c:extLst>
              <c:ext xmlns:c15="http://schemas.microsoft.com/office/drawing/2012/chart" uri="{CE6537A1-D6FC-4f65-9D91-7224C49458BB}"/>
            </c:extLst>
          </c:dLbls>
          <c:cat>
            <c:strRef>
              <c:f>Reports!$A$7:$A$8</c:f>
              <c:strCache>
                <c:ptCount val="2"/>
                <c:pt idx="0">
                  <c:v>Internalized</c:v>
                </c:pt>
                <c:pt idx="1">
                  <c:v>To Market</c:v>
                </c:pt>
              </c:strCache>
            </c:strRef>
          </c:cat>
          <c:val>
            <c:numRef>
              <c:f>Reports!$B$7:$B$8</c:f>
              <c:numCache>
                <c:formatCode>General</c:formatCode>
                <c:ptCount val="2"/>
                <c:pt idx="0">
                  <c:v>19510</c:v>
                </c:pt>
                <c:pt idx="1">
                  <c:v>3008</c:v>
                </c:pt>
              </c:numCache>
            </c:numRef>
          </c:val>
          <c:extLst>
            <c:ext xmlns:c16="http://schemas.microsoft.com/office/drawing/2014/chart" uri="{C3380CC4-5D6E-409C-BE32-E72D297353CC}">
              <c16:uniqueId val="{00000002-C271-49A9-B3A1-506B3BB2E414}"/>
            </c:ext>
          </c:extLst>
        </c:ser>
        <c:dLbls>
          <c:showLegendKey val="0"/>
          <c:showVal val="0"/>
          <c:showCatName val="0"/>
          <c:showSerName val="0"/>
          <c:showPercent val="0"/>
          <c:showBubbleSize val="0"/>
          <c:showLeaderLines val="1"/>
        </c:dLbls>
        <c:firstSliceAng val="0"/>
      </c:pieChart>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pPr>
            <a:r>
              <a:rPr lang="es-ES"/>
              <a:t>Execution Cost: No Netting vs. Netted</a:t>
            </a:r>
          </a:p>
        </c:rich>
      </c:tx>
      <c:overlay val="0"/>
    </c:title>
    <c:autoTitleDeleted val="0"/>
    <c:plotArea>
      <c:layout/>
      <c:barChart>
        <c:barDir val="col"/>
        <c:grouping val="clustered"/>
        <c:varyColors val="0"/>
        <c:ser>
          <c:idx val="0"/>
          <c:order val="0"/>
          <c:tx>
            <c:strRef>
              <c:f>Reports!$B$11</c:f>
              <c:strCache>
                <c:ptCount val="1"/>
                <c:pt idx="0">
                  <c:v>Execution Cost</c:v>
                </c:pt>
              </c:strCache>
            </c:strRef>
          </c:tx>
          <c:invertIfNegative val="0"/>
          <c:dPt>
            <c:idx val="0"/>
            <c:invertIfNegative val="0"/>
            <c:bubble3D val="0"/>
            <c:spPr>
              <a:solidFill>
                <a:srgbClr val="A6192E"/>
              </a:solidFill>
            </c:spPr>
            <c:extLst>
              <c:ext xmlns:c16="http://schemas.microsoft.com/office/drawing/2014/chart" uri="{C3380CC4-5D6E-409C-BE32-E72D297353CC}">
                <c16:uniqueId val="{00000003-A71B-4E0F-A37E-A6E15D009A9C}"/>
              </c:ext>
            </c:extLst>
          </c:dPt>
          <c:dPt>
            <c:idx val="1"/>
            <c:invertIfNegative val="0"/>
            <c:bubble3D val="0"/>
            <c:spPr>
              <a:solidFill>
                <a:srgbClr val="1B57B8"/>
              </a:solidFill>
            </c:spPr>
            <c:extLst>
              <c:ext xmlns:c16="http://schemas.microsoft.com/office/drawing/2014/chart" uri="{C3380CC4-5D6E-409C-BE32-E72D297353CC}">
                <c16:uniqueId val="{00000004-A71B-4E0F-A37E-A6E15D009A9C}"/>
              </c:ext>
            </c:extLst>
          </c:dPt>
          <c:dLbls>
            <c:numFmt formatCode="\£#,##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Reports!$A$12:$A$13</c:f>
              <c:strCache>
                <c:ptCount val="2"/>
                <c:pt idx="0">
                  <c:v>No netting</c:v>
                </c:pt>
                <c:pt idx="1">
                  <c:v>With netting</c:v>
                </c:pt>
              </c:strCache>
            </c:strRef>
          </c:cat>
          <c:val>
            <c:numRef>
              <c:f>Reports!$B$12:$B$13</c:f>
              <c:numCache>
                <c:formatCode>\£#,##0;\(\£#,##0\)</c:formatCode>
                <c:ptCount val="2"/>
                <c:pt idx="0">
                  <c:v>492515.625</c:v>
                </c:pt>
                <c:pt idx="1">
                  <c:v>35250</c:v>
                </c:pt>
              </c:numCache>
            </c:numRef>
          </c:val>
          <c:extLst>
            <c:ext xmlns:c16="http://schemas.microsoft.com/office/drawing/2014/chart" uri="{C3380CC4-5D6E-409C-BE32-E72D297353CC}">
              <c16:uniqueId val="{00000002-A71B-4E0F-A37E-A6E15D009A9C}"/>
            </c:ext>
          </c:extLst>
        </c:ser>
        <c:dLbls>
          <c:showLegendKey val="0"/>
          <c:showVal val="0"/>
          <c:showCatName val="0"/>
          <c:showSerName val="0"/>
          <c:showPercent val="0"/>
          <c:showBubbleSize val="0"/>
        </c:dLbls>
        <c:gapWidth val="150"/>
        <c:axId val="373894416"/>
        <c:axId val="373894896"/>
      </c:barChart>
      <c:catAx>
        <c:axId val="373894416"/>
        <c:scaling>
          <c:orientation val="minMax"/>
        </c:scaling>
        <c:delete val="0"/>
        <c:axPos val="b"/>
        <c:numFmt formatCode="General" sourceLinked="1"/>
        <c:majorTickMark val="out"/>
        <c:minorTickMark val="none"/>
        <c:tickLblPos val="nextTo"/>
        <c:crossAx val="373894896"/>
        <c:crosses val="autoZero"/>
        <c:auto val="1"/>
        <c:lblAlgn val="ctr"/>
        <c:lblOffset val="100"/>
        <c:noMultiLvlLbl val="0"/>
      </c:catAx>
      <c:valAx>
        <c:axId val="373894896"/>
        <c:scaling>
          <c:orientation val="minMax"/>
        </c:scaling>
        <c:delete val="0"/>
        <c:axPos val="l"/>
        <c:majorGridlines/>
        <c:numFmt formatCode="\£#,##0;\(\£#,##0\)" sourceLinked="0"/>
        <c:majorTickMark val="out"/>
        <c:minorTickMark val="none"/>
        <c:tickLblPos val="nextTo"/>
        <c:crossAx val="373894416"/>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pPr>
            <a:r>
              <a:rPr lang="es-ES"/>
              <a:t>Per-Desk: Internalized vs. Market Residual</a:t>
            </a:r>
          </a:p>
        </c:rich>
      </c:tx>
      <c:overlay val="0"/>
    </c:title>
    <c:autoTitleDeleted val="0"/>
    <c:plotArea>
      <c:layout/>
      <c:barChart>
        <c:barDir val="bar"/>
        <c:grouping val="stacked"/>
        <c:varyColors val="0"/>
        <c:ser>
          <c:idx val="0"/>
          <c:order val="0"/>
          <c:tx>
            <c:strRef>
              <c:f>'Desk Summary'!$E$3</c:f>
              <c:strCache>
                <c:ptCount val="1"/>
                <c:pt idx="0">
                  <c:v>Internally Matched</c:v>
                </c:pt>
              </c:strCache>
            </c:strRef>
          </c:tx>
          <c:spPr>
            <a:solidFill>
              <a:srgbClr val="1B57B8"/>
            </a:solidFill>
          </c:spPr>
          <c:invertIfNegative val="0"/>
          <c:cat>
            <c:strRef>
              <c:f>'Desk Summary'!$A$4:$A$10</c:f>
              <c:strCache>
                <c:ptCount val="7"/>
                <c:pt idx="0">
                  <c:v>Options</c:v>
                </c:pt>
                <c:pt idx="1">
                  <c:v>STIR</c:v>
                </c:pt>
                <c:pt idx="2">
                  <c:v>Flow</c:v>
                </c:pt>
                <c:pt idx="3">
                  <c:v>Management</c:v>
                </c:pt>
                <c:pt idx="4">
                  <c:v>Inflation</c:v>
                </c:pt>
                <c:pt idx="5">
                  <c:v>XCCY</c:v>
                </c:pt>
                <c:pt idx="6">
                  <c:v>EUR</c:v>
                </c:pt>
              </c:strCache>
            </c:strRef>
          </c:cat>
          <c:val>
            <c:numRef>
              <c:f>'Desk Summary'!$E$4:$E$10</c:f>
              <c:numCache>
                <c:formatCode>General</c:formatCode>
                <c:ptCount val="7"/>
                <c:pt idx="0">
                  <c:v>12000</c:v>
                </c:pt>
                <c:pt idx="1">
                  <c:v>8000</c:v>
                </c:pt>
                <c:pt idx="2">
                  <c:v>4502</c:v>
                </c:pt>
                <c:pt idx="3">
                  <c:v>6009</c:v>
                </c:pt>
                <c:pt idx="4">
                  <c:v>3008</c:v>
                </c:pt>
                <c:pt idx="5">
                  <c:v>0</c:v>
                </c:pt>
                <c:pt idx="6">
                  <c:v>5501</c:v>
                </c:pt>
              </c:numCache>
            </c:numRef>
          </c:val>
          <c:extLst>
            <c:ext xmlns:c16="http://schemas.microsoft.com/office/drawing/2014/chart" uri="{C3380CC4-5D6E-409C-BE32-E72D297353CC}">
              <c16:uniqueId val="{00000002-807E-4BDE-9C6F-E19352108870}"/>
            </c:ext>
          </c:extLst>
        </c:ser>
        <c:ser>
          <c:idx val="1"/>
          <c:order val="1"/>
          <c:tx>
            <c:strRef>
              <c:f>'Desk Summary'!$F$3</c:f>
              <c:strCache>
                <c:ptCount val="1"/>
                <c:pt idx="0">
                  <c:v>Market Residual</c:v>
                </c:pt>
              </c:strCache>
            </c:strRef>
          </c:tx>
          <c:spPr>
            <a:solidFill>
              <a:srgbClr val="C17814"/>
            </a:solidFill>
          </c:spPr>
          <c:invertIfNegative val="0"/>
          <c:cat>
            <c:strRef>
              <c:f>'Desk Summary'!$A$4:$A$10</c:f>
              <c:strCache>
                <c:ptCount val="7"/>
                <c:pt idx="0">
                  <c:v>Options</c:v>
                </c:pt>
                <c:pt idx="1">
                  <c:v>STIR</c:v>
                </c:pt>
                <c:pt idx="2">
                  <c:v>Flow</c:v>
                </c:pt>
                <c:pt idx="3">
                  <c:v>Management</c:v>
                </c:pt>
                <c:pt idx="4">
                  <c:v>Inflation</c:v>
                </c:pt>
                <c:pt idx="5">
                  <c:v>XCCY</c:v>
                </c:pt>
                <c:pt idx="6">
                  <c:v>EUR</c:v>
                </c:pt>
              </c:strCache>
            </c:strRef>
          </c:cat>
          <c:val>
            <c:numRef>
              <c:f>'Desk Summary'!$F$4:$F$10</c:f>
              <c:numCache>
                <c:formatCode>General</c:formatCode>
                <c:ptCount val="7"/>
                <c:pt idx="0">
                  <c:v>0</c:v>
                </c:pt>
                <c:pt idx="1">
                  <c:v>0</c:v>
                </c:pt>
                <c:pt idx="2">
                  <c:v>0</c:v>
                </c:pt>
                <c:pt idx="3">
                  <c:v>0</c:v>
                </c:pt>
                <c:pt idx="4">
                  <c:v>0</c:v>
                </c:pt>
                <c:pt idx="5">
                  <c:v>2509</c:v>
                </c:pt>
                <c:pt idx="6">
                  <c:v>499</c:v>
                </c:pt>
              </c:numCache>
            </c:numRef>
          </c:val>
          <c:extLst>
            <c:ext xmlns:c16="http://schemas.microsoft.com/office/drawing/2014/chart" uri="{C3380CC4-5D6E-409C-BE32-E72D297353CC}">
              <c16:uniqueId val="{00000003-807E-4BDE-9C6F-E19352108870}"/>
            </c:ext>
          </c:extLst>
        </c:ser>
        <c:dLbls>
          <c:showLegendKey val="0"/>
          <c:showVal val="0"/>
          <c:showCatName val="0"/>
          <c:showSerName val="0"/>
          <c:showPercent val="0"/>
          <c:showBubbleSize val="0"/>
        </c:dLbls>
        <c:gapWidth val="150"/>
        <c:overlap val="100"/>
        <c:axId val="139295744"/>
        <c:axId val="373896336"/>
      </c:barChart>
      <c:catAx>
        <c:axId val="139295744"/>
        <c:scaling>
          <c:orientation val="minMax"/>
        </c:scaling>
        <c:delete val="0"/>
        <c:axPos val="l"/>
        <c:numFmt formatCode="General" sourceLinked="1"/>
        <c:majorTickMark val="out"/>
        <c:minorTickMark val="none"/>
        <c:tickLblPos val="nextTo"/>
        <c:crossAx val="373896336"/>
        <c:crosses val="autoZero"/>
        <c:auto val="1"/>
        <c:lblAlgn val="ctr"/>
        <c:lblOffset val="100"/>
        <c:noMultiLvlLbl val="0"/>
      </c:catAx>
      <c:valAx>
        <c:axId val="373896336"/>
        <c:scaling>
          <c:orientation val="minMax"/>
        </c:scaling>
        <c:delete val="0"/>
        <c:axPos val="b"/>
        <c:majorGridlines/>
        <c:numFmt formatCode="General" sourceLinked="1"/>
        <c:majorTickMark val="out"/>
        <c:minorTickMark val="none"/>
        <c:tickLblPos val="nextTo"/>
        <c:crossAx val="139295744"/>
        <c:crosses val="autoZero"/>
        <c:crossBetween val="between"/>
      </c:valAx>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19</xdr:row>
      <xdr:rowOff>63360</xdr:rowOff>
    </xdr:from>
    <xdr:to>
      <xdr:col>7</xdr:col>
      <xdr:colOff>135720</xdr:colOff>
      <xdr:row>34</xdr:row>
      <xdr:rowOff>85680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254000</xdr:colOff>
      <xdr:row>8</xdr:row>
      <xdr:rowOff>14514</xdr:rowOff>
    </xdr:from>
    <xdr:to>
      <xdr:col>7</xdr:col>
      <xdr:colOff>284843</xdr:colOff>
      <xdr:row>25</xdr:row>
      <xdr:rowOff>170543</xdr:rowOff>
    </xdr:to>
    <xdr:graphicFrame macro="">
      <xdr:nvGraphicFramePr>
        <xdr:cNvPr id="42" name="Chart 41">
          <a:extLst>
            <a:ext uri="{FF2B5EF4-FFF2-40B4-BE49-F238E27FC236}">
              <a16:creationId xmlns:a16="http://schemas.microsoft.com/office/drawing/2014/main" id="{24CB2EA3-4428-0907-3D4B-4012B1E750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411843</xdr:colOff>
      <xdr:row>8</xdr:row>
      <xdr:rowOff>14514</xdr:rowOff>
    </xdr:from>
    <xdr:to>
      <xdr:col>15</xdr:col>
      <xdr:colOff>317500</xdr:colOff>
      <xdr:row>25</xdr:row>
      <xdr:rowOff>170543</xdr:rowOff>
    </xdr:to>
    <xdr:graphicFrame macro="">
      <xdr:nvGraphicFramePr>
        <xdr:cNvPr id="43" name="Chart 42">
          <a:extLst>
            <a:ext uri="{FF2B5EF4-FFF2-40B4-BE49-F238E27FC236}">
              <a16:creationId xmlns:a16="http://schemas.microsoft.com/office/drawing/2014/main" id="{43A33FAA-3F2A-00CD-DD92-61E7979EFD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254000</xdr:colOff>
      <xdr:row>26</xdr:row>
      <xdr:rowOff>112486</xdr:rowOff>
    </xdr:from>
    <xdr:to>
      <xdr:col>7</xdr:col>
      <xdr:colOff>284843</xdr:colOff>
      <xdr:row>44</xdr:row>
      <xdr:rowOff>83457</xdr:rowOff>
    </xdr:to>
    <xdr:graphicFrame macro="">
      <xdr:nvGraphicFramePr>
        <xdr:cNvPr id="44" name="Chart 43">
          <a:extLst>
            <a:ext uri="{FF2B5EF4-FFF2-40B4-BE49-F238E27FC236}">
              <a16:creationId xmlns:a16="http://schemas.microsoft.com/office/drawing/2014/main" id="{D2DA11D6-DEC4-BBC3-1980-276A4A3C1E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411843</xdr:colOff>
      <xdr:row>26</xdr:row>
      <xdr:rowOff>112486</xdr:rowOff>
    </xdr:from>
    <xdr:to>
      <xdr:col>15</xdr:col>
      <xdr:colOff>317500</xdr:colOff>
      <xdr:row>44</xdr:row>
      <xdr:rowOff>83457</xdr:rowOff>
    </xdr:to>
    <xdr:graphicFrame macro="">
      <xdr:nvGraphicFramePr>
        <xdr:cNvPr id="45" name="Chart 44">
          <a:extLst>
            <a:ext uri="{FF2B5EF4-FFF2-40B4-BE49-F238E27FC236}">
              <a16:creationId xmlns:a16="http://schemas.microsoft.com/office/drawing/2014/main" id="{4FBF10FD-B7B2-31C9-C5B6-E39F155AC5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eskTable" displayName="DeskTable" ref="A4:B13" totalsRowShown="0">
  <autoFilter ref="A4:B13" xr:uid="{00000000-0009-0000-0100-000001000000}"/>
  <tableColumns count="2">
    <tableColumn id="1" xr3:uid="{00000000-0010-0000-0000-000001000000}" name="Desk"/>
    <tableColumn id="2" xr3:uid="{00000000-0010-0000-0000-000002000000}" name="Position "/>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40"/>
  <sheetViews>
    <sheetView showGridLines="0" zoomScaleNormal="100" workbookViewId="0">
      <selection sqref="A1:H1"/>
    </sheetView>
  </sheetViews>
  <sheetFormatPr defaultColWidth="8.69140625" defaultRowHeight="14.6" x14ac:dyDescent="0.4"/>
  <cols>
    <col min="1" max="1" width="3" customWidth="1"/>
    <col min="2" max="8" width="15" customWidth="1"/>
    <col min="9" max="9" width="3" customWidth="1"/>
  </cols>
  <sheetData>
    <row r="1" spans="1:9" ht="36" customHeight="1" x14ac:dyDescent="0.4">
      <c r="A1" s="14" t="s">
        <v>0</v>
      </c>
      <c r="B1" s="14"/>
      <c r="C1" s="14"/>
      <c r="D1" s="14"/>
      <c r="E1" s="14"/>
      <c r="F1" s="14"/>
      <c r="G1" s="14"/>
      <c r="H1" s="14"/>
    </row>
    <row r="2" spans="1:9" ht="18" customHeight="1" x14ac:dyDescent="0.4">
      <c r="A2" s="13" t="s">
        <v>1</v>
      </c>
      <c r="B2" s="13"/>
      <c r="C2" s="13"/>
      <c r="D2" s="13"/>
      <c r="E2" s="13"/>
      <c r="F2" s="13"/>
      <c r="G2" s="13"/>
      <c r="H2" s="13"/>
    </row>
    <row r="4" spans="1:9" ht="16.3" x14ac:dyDescent="0.4">
      <c r="B4" s="16" t="s">
        <v>2</v>
      </c>
    </row>
    <row r="5" spans="1:9" ht="15" customHeight="1" x14ac:dyDescent="0.4">
      <c r="B5" s="12" t="s">
        <v>3</v>
      </c>
      <c r="C5" s="12"/>
      <c r="D5" s="12"/>
      <c r="E5" s="12"/>
      <c r="F5" s="12"/>
      <c r="G5" s="12"/>
      <c r="H5" s="12"/>
    </row>
    <row r="6" spans="1:9" x14ac:dyDescent="0.4">
      <c r="B6" s="12"/>
      <c r="C6" s="12"/>
      <c r="D6" s="12"/>
      <c r="E6" s="12"/>
      <c r="F6" s="12"/>
      <c r="G6" s="12"/>
      <c r="H6" s="12"/>
    </row>
    <row r="7" spans="1:9" x14ac:dyDescent="0.4">
      <c r="B7" s="12"/>
      <c r="C7" s="12"/>
      <c r="D7" s="12"/>
      <c r="E7" s="12"/>
      <c r="F7" s="12"/>
      <c r="G7" s="12"/>
      <c r="H7" s="12"/>
    </row>
    <row r="8" spans="1:9" x14ac:dyDescent="0.4">
      <c r="B8" s="11" t="s">
        <v>4</v>
      </c>
      <c r="C8" s="11"/>
      <c r="D8" s="11" t="s">
        <v>5</v>
      </c>
      <c r="E8" s="11"/>
      <c r="F8" s="10" t="s">
        <v>6</v>
      </c>
      <c r="G8" s="10"/>
      <c r="H8" s="9" t="s">
        <v>7</v>
      </c>
      <c r="I8" s="9"/>
    </row>
    <row r="9" spans="1:9" ht="33.75" customHeight="1" x14ac:dyDescent="0.4">
      <c r="B9" s="8">
        <f>'Cost Savings'!B4+'Cost Savings'!B5</f>
        <v>42028</v>
      </c>
      <c r="C9" s="8"/>
      <c r="D9" s="8">
        <f>'Cost Savings'!B7</f>
        <v>39020</v>
      </c>
      <c r="E9" s="8"/>
      <c r="F9" s="7">
        <f>'Cost Savings'!B8</f>
        <v>3008</v>
      </c>
      <c r="G9" s="7"/>
      <c r="H9" s="42">
        <f>'Cost Savings'!B13</f>
        <v>457265.625</v>
      </c>
      <c r="I9" s="6"/>
    </row>
    <row r="10" spans="1:9" ht="6" customHeight="1" x14ac:dyDescent="0.4">
      <c r="B10" s="8"/>
      <c r="C10" s="8"/>
      <c r="D10" s="8"/>
      <c r="E10" s="8"/>
      <c r="F10" s="7"/>
      <c r="G10" s="7"/>
      <c r="H10" s="6"/>
      <c r="I10" s="6"/>
    </row>
    <row r="11" spans="1:9" x14ac:dyDescent="0.4">
      <c r="B11" s="8"/>
      <c r="C11" s="8"/>
      <c r="D11" s="8"/>
      <c r="E11" s="8"/>
      <c r="F11" s="7"/>
      <c r="G11" s="7"/>
      <c r="H11" s="6"/>
      <c r="I11" s="6"/>
    </row>
    <row r="13" spans="1:9" x14ac:dyDescent="0.4">
      <c r="B13" s="5" t="str">
        <f>"Execution cost cut by "&amp;TEXT('Cost Savings'!B14,"0.0%")&amp;" vs. every desk trading independently."</f>
        <v>Execution cost cut by 92.8% vs. every desk trading independently.</v>
      </c>
      <c r="C13" s="5"/>
      <c r="D13" s="5"/>
      <c r="E13" s="5"/>
      <c r="F13" s="5"/>
      <c r="G13" s="5"/>
      <c r="H13" s="5"/>
    </row>
    <row r="16" spans="1:9" ht="24.9" x14ac:dyDescent="0.4">
      <c r="B16" s="18" t="s">
        <v>8</v>
      </c>
      <c r="C16" s="18" t="s">
        <v>9</v>
      </c>
    </row>
    <row r="17" spans="2:3" x14ac:dyDescent="0.4">
      <c r="B17" s="19" t="s">
        <v>10</v>
      </c>
      <c r="C17" s="20">
        <f>'Cost Savings'!B10</f>
        <v>492515.625</v>
      </c>
    </row>
    <row r="18" spans="2:3" x14ac:dyDescent="0.4">
      <c r="B18" s="19" t="s">
        <v>11</v>
      </c>
      <c r="C18" s="20">
        <f>'Cost Savings'!B12</f>
        <v>35250</v>
      </c>
    </row>
    <row r="38" spans="2:8" ht="15" customHeight="1" x14ac:dyDescent="0.4">
      <c r="B38" s="4" t="s">
        <v>12</v>
      </c>
      <c r="C38" s="4"/>
      <c r="D38" s="4"/>
      <c r="E38" s="4"/>
      <c r="F38" s="4"/>
      <c r="G38" s="4"/>
      <c r="H38" s="4"/>
    </row>
    <row r="39" spans="2:8" x14ac:dyDescent="0.4">
      <c r="B39" s="4"/>
      <c r="C39" s="4"/>
      <c r="D39" s="4"/>
      <c r="E39" s="4"/>
      <c r="F39" s="4"/>
      <c r="G39" s="4"/>
      <c r="H39" s="4"/>
    </row>
    <row r="40" spans="2:8" x14ac:dyDescent="0.4">
      <c r="B40" s="4"/>
      <c r="C40" s="4"/>
      <c r="D40" s="4"/>
      <c r="E40" s="4"/>
      <c r="F40" s="4"/>
      <c r="G40" s="4"/>
      <c r="H40" s="4"/>
    </row>
  </sheetData>
  <mergeCells count="13">
    <mergeCell ref="B38:H40"/>
    <mergeCell ref="B9:C11"/>
    <mergeCell ref="D9:E11"/>
    <mergeCell ref="F9:G11"/>
    <mergeCell ref="H9:I11"/>
    <mergeCell ref="B13:H13"/>
    <mergeCell ref="A1:H1"/>
    <mergeCell ref="A2:H2"/>
    <mergeCell ref="B5:H7"/>
    <mergeCell ref="B8:C8"/>
    <mergeCell ref="D8:E8"/>
    <mergeCell ref="F8:G8"/>
    <mergeCell ref="H8:I8"/>
  </mergeCells>
  <pageMargins left="0.75" right="0.75" top="1" bottom="1" header="0.511811023622047" footer="0.511811023622047"/>
  <pageSetup paperSize="9" orientation="portrait" horizontalDpi="300" verticalDpi="30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27"/>
  <sheetViews>
    <sheetView showGridLines="0" tabSelected="1" zoomScaleNormal="100" workbookViewId="0">
      <selection activeCell="B5" sqref="B5"/>
    </sheetView>
  </sheetViews>
  <sheetFormatPr defaultColWidth="8.69140625" defaultRowHeight="14.6" x14ac:dyDescent="0.4"/>
  <cols>
    <col min="1" max="1" width="22" customWidth="1"/>
    <col min="2" max="2" width="16" customWidth="1"/>
    <col min="3" max="3" width="3" customWidth="1"/>
    <col min="4" max="4" width="34" customWidth="1"/>
    <col min="5" max="5" width="14" customWidth="1"/>
  </cols>
  <sheetData>
    <row r="1" spans="1:8" ht="33.75" customHeight="1" x14ac:dyDescent="0.4">
      <c r="A1" s="14" t="s">
        <v>13</v>
      </c>
      <c r="B1" s="14"/>
      <c r="C1" s="14"/>
      <c r="D1" s="14"/>
      <c r="E1" s="14"/>
    </row>
    <row r="2" spans="1:8" ht="18" customHeight="1" x14ac:dyDescent="0.4">
      <c r="A2" s="13" t="s">
        <v>14</v>
      </c>
      <c r="B2" s="13"/>
      <c r="C2" s="13"/>
      <c r="D2" s="13"/>
      <c r="E2" s="13"/>
    </row>
    <row r="4" spans="1:8" ht="16.3" x14ac:dyDescent="0.4">
      <c r="A4" t="s">
        <v>15</v>
      </c>
      <c r="B4" t="s">
        <v>121</v>
      </c>
      <c r="D4" s="21" t="s">
        <v>16</v>
      </c>
      <c r="E4" s="19"/>
    </row>
    <row r="5" spans="1:8" x14ac:dyDescent="0.4">
      <c r="A5" s="22" t="s">
        <v>98</v>
      </c>
      <c r="B5" s="23">
        <v>12000</v>
      </c>
      <c r="D5" s="24" t="s">
        <v>17</v>
      </c>
      <c r="E5" s="25">
        <v>15.625</v>
      </c>
    </row>
    <row r="6" spans="1:8" x14ac:dyDescent="0.4">
      <c r="A6" s="22" t="s">
        <v>99</v>
      </c>
      <c r="B6" s="23">
        <v>-8000</v>
      </c>
      <c r="D6" s="24" t="s">
        <v>18</v>
      </c>
      <c r="E6" s="26">
        <v>0.5</v>
      </c>
    </row>
    <row r="7" spans="1:8" x14ac:dyDescent="0.4">
      <c r="A7" s="22" t="s">
        <v>100</v>
      </c>
      <c r="B7" s="23">
        <v>4502</v>
      </c>
      <c r="D7" s="24" t="s">
        <v>19</v>
      </c>
      <c r="E7" s="26">
        <v>0.25</v>
      </c>
    </row>
    <row r="8" spans="1:8" x14ac:dyDescent="0.4">
      <c r="A8" s="22" t="s">
        <v>101</v>
      </c>
      <c r="B8" s="23">
        <v>-6009</v>
      </c>
      <c r="D8" s="24" t="s">
        <v>20</v>
      </c>
      <c r="E8" s="25">
        <v>0</v>
      </c>
    </row>
    <row r="9" spans="1:8" ht="22.4" customHeight="1" x14ac:dyDescent="0.4">
      <c r="A9" s="22" t="s">
        <v>102</v>
      </c>
      <c r="B9" s="23">
        <v>3008</v>
      </c>
      <c r="D9" s="3" t="s">
        <v>21</v>
      </c>
      <c r="E9" s="3"/>
      <c r="F9" s="3"/>
      <c r="G9" s="3"/>
      <c r="H9" s="3"/>
    </row>
    <row r="10" spans="1:8" x14ac:dyDescent="0.4">
      <c r="A10" s="22" t="s">
        <v>103</v>
      </c>
      <c r="B10" s="23">
        <v>-2509</v>
      </c>
    </row>
    <row r="11" spans="1:8" ht="16.3" x14ac:dyDescent="0.4">
      <c r="A11" s="22" t="s">
        <v>104</v>
      </c>
      <c r="B11" s="23">
        <v>-6000</v>
      </c>
      <c r="D11" s="27" t="s">
        <v>22</v>
      </c>
      <c r="E11" s="19"/>
    </row>
    <row r="12" spans="1:8" x14ac:dyDescent="0.4">
      <c r="D12" s="24" t="s">
        <v>23</v>
      </c>
      <c r="E12" s="28" t="s">
        <v>24</v>
      </c>
    </row>
    <row r="13" spans="1:8" ht="21.75" customHeight="1" x14ac:dyDescent="0.4">
      <c r="D13" s="24" t="s">
        <v>26</v>
      </c>
      <c r="E13" s="28" t="s">
        <v>27</v>
      </c>
    </row>
    <row r="14" spans="1:8" x14ac:dyDescent="0.4">
      <c r="A14" s="2" t="s">
        <v>25</v>
      </c>
      <c r="B14" s="2"/>
      <c r="D14" s="24" t="s">
        <v>28</v>
      </c>
      <c r="E14" s="29">
        <v>100000</v>
      </c>
    </row>
    <row r="15" spans="1:8" x14ac:dyDescent="0.4">
      <c r="D15" s="24" t="s">
        <v>29</v>
      </c>
      <c r="E15" s="28" t="s">
        <v>97</v>
      </c>
    </row>
    <row r="16" spans="1:8" x14ac:dyDescent="0.4">
      <c r="D16" s="24" t="s">
        <v>30</v>
      </c>
      <c r="E16" s="28" t="s">
        <v>97</v>
      </c>
    </row>
    <row r="18" spans="4:8" ht="16.3" x14ac:dyDescent="0.4">
      <c r="D18" s="27" t="s">
        <v>31</v>
      </c>
      <c r="E18" s="19"/>
    </row>
    <row r="19" spans="4:8" x14ac:dyDescent="0.4">
      <c r="D19" s="24" t="s">
        <v>32</v>
      </c>
      <c r="E19" s="28" t="s">
        <v>33</v>
      </c>
    </row>
    <row r="20" spans="4:8" x14ac:dyDescent="0.4">
      <c r="D20" s="24" t="s">
        <v>34</v>
      </c>
      <c r="E20" s="28" t="s">
        <v>96</v>
      </c>
    </row>
    <row r="22" spans="4:8" ht="15" customHeight="1" x14ac:dyDescent="0.4">
      <c r="D22" s="4" t="s">
        <v>35</v>
      </c>
      <c r="E22" s="4"/>
      <c r="F22" s="4"/>
      <c r="G22" s="4"/>
      <c r="H22" s="4"/>
    </row>
    <row r="23" spans="4:8" x14ac:dyDescent="0.4">
      <c r="D23" s="4"/>
      <c r="E23" s="4"/>
      <c r="F23" s="4"/>
      <c r="G23" s="4"/>
      <c r="H23" s="4"/>
    </row>
    <row r="24" spans="4:8" x14ac:dyDescent="0.4">
      <c r="D24" s="4"/>
      <c r="E24" s="4"/>
      <c r="F24" s="4"/>
      <c r="G24" s="4"/>
      <c r="H24" s="4"/>
    </row>
    <row r="25" spans="4:8" x14ac:dyDescent="0.4">
      <c r="D25" s="4"/>
      <c r="E25" s="4"/>
      <c r="F25" s="4"/>
      <c r="G25" s="4"/>
      <c r="H25" s="4"/>
    </row>
    <row r="26" spans="4:8" x14ac:dyDescent="0.4">
      <c r="D26" s="4"/>
      <c r="E26" s="4"/>
      <c r="F26" s="4"/>
      <c r="G26" s="4"/>
      <c r="H26" s="4"/>
    </row>
    <row r="27" spans="4:8" x14ac:dyDescent="0.4">
      <c r="D27" s="4"/>
      <c r="E27" s="4"/>
      <c r="F27" s="4"/>
      <c r="G27" s="4"/>
      <c r="H27" s="4"/>
    </row>
  </sheetData>
  <mergeCells count="5">
    <mergeCell ref="A1:E1"/>
    <mergeCell ref="A2:E2"/>
    <mergeCell ref="D9:H9"/>
    <mergeCell ref="A14:B14"/>
    <mergeCell ref="D22:H27"/>
  </mergeCells>
  <dataValidations count="1">
    <dataValidation type="list" error="Pick GBP, EUR, or USD." prompt="Choose the currency this future is quoted/settled in." sqref="E20" xr:uid="{00000000-0002-0000-0100-000000000000}">
      <formula1>"GBP,EUR,USD"</formula1>
      <formula2>0</formula2>
    </dataValidation>
  </dataValidations>
  <pageMargins left="0.75" right="0.75" top="1" bottom="1" header="0.511811023622047" footer="0.511811023622047"/>
  <pageSetup paperSize="9" orientation="portrait" horizontalDpi="300" verticalDpi="300"/>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13"/>
  <sheetViews>
    <sheetView showGridLines="0" zoomScaleNormal="100" workbookViewId="0"/>
  </sheetViews>
  <sheetFormatPr defaultColWidth="8.69140625" defaultRowHeight="14.6" x14ac:dyDescent="0.4"/>
  <cols>
    <col min="1" max="1" width="56.3046875" bestFit="1" customWidth="1"/>
    <col min="2" max="2" width="5.15234375" bestFit="1" customWidth="1"/>
    <col min="3" max="4" width="11.765625" bestFit="1" customWidth="1"/>
    <col min="5" max="5" width="4.84375" bestFit="1" customWidth="1"/>
    <col min="6" max="6" width="48.84375" bestFit="1" customWidth="1"/>
  </cols>
  <sheetData>
    <row r="1" spans="1:6" ht="18.45" x14ac:dyDescent="0.5">
      <c r="A1" s="30" t="s">
        <v>36</v>
      </c>
    </row>
    <row r="3" spans="1:6" x14ac:dyDescent="0.4">
      <c r="A3" s="31" t="s">
        <v>37</v>
      </c>
      <c r="B3" s="31" t="s">
        <v>38</v>
      </c>
      <c r="C3" s="31" t="s">
        <v>39</v>
      </c>
      <c r="D3" s="31" t="s">
        <v>40</v>
      </c>
      <c r="E3" s="31" t="s">
        <v>41</v>
      </c>
      <c r="F3" s="31" t="s">
        <v>42</v>
      </c>
    </row>
    <row r="4" spans="1:6" x14ac:dyDescent="0.4">
      <c r="A4" s="19">
        <v>1</v>
      </c>
      <c r="B4" s="19" t="s">
        <v>24</v>
      </c>
      <c r="C4" s="19" t="s">
        <v>98</v>
      </c>
      <c r="D4" s="19" t="s">
        <v>99</v>
      </c>
      <c r="E4" s="19">
        <v>8000</v>
      </c>
      <c r="F4" s="19" t="s">
        <v>43</v>
      </c>
    </row>
    <row r="5" spans="1:6" x14ac:dyDescent="0.4">
      <c r="A5" s="19">
        <v>1</v>
      </c>
      <c r="B5" s="19" t="s">
        <v>27</v>
      </c>
      <c r="C5" s="19" t="s">
        <v>99</v>
      </c>
      <c r="D5" s="19" t="s">
        <v>98</v>
      </c>
      <c r="E5" s="19">
        <v>8000</v>
      </c>
      <c r="F5" s="19" t="s">
        <v>44</v>
      </c>
    </row>
    <row r="6" spans="1:6" x14ac:dyDescent="0.4">
      <c r="A6" s="19">
        <v>2</v>
      </c>
      <c r="B6" s="19" t="s">
        <v>24</v>
      </c>
      <c r="C6" s="19" t="s">
        <v>98</v>
      </c>
      <c r="D6" s="19" t="s">
        <v>101</v>
      </c>
      <c r="E6" s="19">
        <v>4000</v>
      </c>
      <c r="F6" s="19" t="s">
        <v>43</v>
      </c>
    </row>
    <row r="7" spans="1:6" x14ac:dyDescent="0.4">
      <c r="A7" s="19">
        <v>2</v>
      </c>
      <c r="B7" s="19" t="s">
        <v>27</v>
      </c>
      <c r="C7" s="19" t="s">
        <v>101</v>
      </c>
      <c r="D7" s="19" t="s">
        <v>98</v>
      </c>
      <c r="E7" s="19">
        <v>4000</v>
      </c>
      <c r="F7" s="19" t="s">
        <v>44</v>
      </c>
    </row>
    <row r="8" spans="1:6" x14ac:dyDescent="0.4">
      <c r="A8" s="19">
        <v>3</v>
      </c>
      <c r="B8" s="19" t="s">
        <v>24</v>
      </c>
      <c r="C8" s="19" t="s">
        <v>100</v>
      </c>
      <c r="D8" s="19" t="s">
        <v>101</v>
      </c>
      <c r="E8" s="19">
        <v>2009</v>
      </c>
      <c r="F8" s="19" t="s">
        <v>43</v>
      </c>
    </row>
    <row r="9" spans="1:6" x14ac:dyDescent="0.4">
      <c r="A9" s="19">
        <v>3</v>
      </c>
      <c r="B9" s="19" t="s">
        <v>27</v>
      </c>
      <c r="C9" s="19" t="s">
        <v>101</v>
      </c>
      <c r="D9" s="19" t="s">
        <v>100</v>
      </c>
      <c r="E9" s="19">
        <v>2009</v>
      </c>
      <c r="F9" s="19" t="s">
        <v>44</v>
      </c>
    </row>
    <row r="10" spans="1:6" x14ac:dyDescent="0.4">
      <c r="A10" s="19">
        <v>4</v>
      </c>
      <c r="B10" s="19" t="s">
        <v>24</v>
      </c>
      <c r="C10" s="19" t="s">
        <v>100</v>
      </c>
      <c r="D10" s="19" t="s">
        <v>104</v>
      </c>
      <c r="E10" s="19">
        <v>2493</v>
      </c>
      <c r="F10" s="19" t="s">
        <v>43</v>
      </c>
    </row>
    <row r="11" spans="1:6" x14ac:dyDescent="0.4">
      <c r="A11" s="19">
        <v>4</v>
      </c>
      <c r="B11" s="19" t="s">
        <v>27</v>
      </c>
      <c r="C11" s="19" t="s">
        <v>104</v>
      </c>
      <c r="D11" s="19" t="s">
        <v>100</v>
      </c>
      <c r="E11" s="19">
        <v>2493</v>
      </c>
      <c r="F11" s="19" t="s">
        <v>44</v>
      </c>
    </row>
    <row r="12" spans="1:6" x14ac:dyDescent="0.4">
      <c r="A12" s="19">
        <v>5</v>
      </c>
      <c r="B12" s="19" t="s">
        <v>24</v>
      </c>
      <c r="C12" s="19" t="s">
        <v>102</v>
      </c>
      <c r="D12" s="19" t="s">
        <v>104</v>
      </c>
      <c r="E12" s="19">
        <v>3008</v>
      </c>
      <c r="F12" s="19" t="s">
        <v>43</v>
      </c>
    </row>
    <row r="13" spans="1:6" x14ac:dyDescent="0.4">
      <c r="A13" s="19">
        <v>5</v>
      </c>
      <c r="B13" s="19" t="s">
        <v>27</v>
      </c>
      <c r="C13" s="19" t="s">
        <v>104</v>
      </c>
      <c r="D13" s="19" t="s">
        <v>102</v>
      </c>
      <c r="E13" s="19">
        <v>3008</v>
      </c>
      <c r="F13" s="19" t="s">
        <v>44</v>
      </c>
    </row>
  </sheetData>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6"/>
  <sheetViews>
    <sheetView showGridLines="0" zoomScaleNormal="100" workbookViewId="0"/>
  </sheetViews>
  <sheetFormatPr defaultColWidth="8.69140625" defaultRowHeight="14.6" x14ac:dyDescent="0.4"/>
  <cols>
    <col min="1" max="1" width="55.84375" bestFit="1" customWidth="1"/>
    <col min="2" max="2" width="8.53515625" bestFit="1" customWidth="1"/>
    <col min="3" max="3" width="58.921875" bestFit="1" customWidth="1"/>
  </cols>
  <sheetData>
    <row r="1" spans="1:3" ht="18.45" x14ac:dyDescent="0.5">
      <c r="A1" s="30" t="s">
        <v>45</v>
      </c>
    </row>
    <row r="3" spans="1:3" x14ac:dyDescent="0.4">
      <c r="A3" s="31" t="s">
        <v>46</v>
      </c>
      <c r="B3" s="31" t="s">
        <v>47</v>
      </c>
      <c r="C3" s="31" t="s">
        <v>42</v>
      </c>
    </row>
    <row r="4" spans="1:3" x14ac:dyDescent="0.4">
      <c r="A4" s="19" t="s">
        <v>112</v>
      </c>
      <c r="B4" s="19">
        <v>3008</v>
      </c>
      <c r="C4" s="19" t="s">
        <v>113</v>
      </c>
    </row>
    <row r="6" spans="1:3" ht="45" customHeight="1" x14ac:dyDescent="0.4">
      <c r="A6" s="45" t="s">
        <v>111</v>
      </c>
      <c r="B6" s="45"/>
      <c r="C6" s="45"/>
    </row>
  </sheetData>
  <mergeCells count="1">
    <mergeCell ref="A6:C6"/>
  </mergeCells>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10"/>
  <sheetViews>
    <sheetView showGridLines="0" zoomScaleNormal="100" workbookViewId="0">
      <selection activeCell="B4" sqref="B4"/>
    </sheetView>
  </sheetViews>
  <sheetFormatPr defaultColWidth="8.69140625" defaultRowHeight="14.6" x14ac:dyDescent="0.4"/>
  <cols>
    <col min="1" max="1" width="16.921875" bestFit="1" customWidth="1"/>
    <col min="2" max="2" width="7.53515625" bestFit="1" customWidth="1"/>
    <col min="3" max="3" width="8.4609375" bestFit="1" customWidth="1"/>
    <col min="4" max="4" width="7.4609375" bestFit="1" customWidth="1"/>
    <col min="5" max="5" width="16.765625" bestFit="1" customWidth="1"/>
    <col min="6" max="6" width="14.4609375" bestFit="1" customWidth="1"/>
  </cols>
  <sheetData>
    <row r="1" spans="1:6" ht="18.45" x14ac:dyDescent="0.5">
      <c r="A1" s="30" t="s">
        <v>48</v>
      </c>
    </row>
    <row r="3" spans="1:6" x14ac:dyDescent="0.4">
      <c r="A3" s="31" t="s">
        <v>15</v>
      </c>
      <c r="B3" s="31" t="s">
        <v>49</v>
      </c>
      <c r="C3" s="31" t="s">
        <v>50</v>
      </c>
      <c r="D3" s="31" t="s">
        <v>51</v>
      </c>
      <c r="E3" s="31" t="s">
        <v>52</v>
      </c>
      <c r="F3" s="31" t="s">
        <v>53</v>
      </c>
    </row>
    <row r="4" spans="1:6" x14ac:dyDescent="0.4">
      <c r="A4" s="19" t="s">
        <v>98</v>
      </c>
      <c r="B4" s="19">
        <v>12000</v>
      </c>
      <c r="C4" s="19" t="s">
        <v>54</v>
      </c>
      <c r="D4" s="19">
        <v>12000</v>
      </c>
      <c r="E4" s="19">
        <v>12000</v>
      </c>
      <c r="F4" s="19">
        <v>0</v>
      </c>
    </row>
    <row r="5" spans="1:6" x14ac:dyDescent="0.4">
      <c r="A5" s="19" t="s">
        <v>99</v>
      </c>
      <c r="B5" s="19">
        <v>-8000</v>
      </c>
      <c r="C5" s="19" t="s">
        <v>55</v>
      </c>
      <c r="D5" s="19">
        <v>8000</v>
      </c>
      <c r="E5" s="19">
        <v>8000</v>
      </c>
      <c r="F5" s="19">
        <v>0</v>
      </c>
    </row>
    <row r="6" spans="1:6" x14ac:dyDescent="0.4">
      <c r="A6" s="19" t="s">
        <v>100</v>
      </c>
      <c r="B6" s="19">
        <v>4502</v>
      </c>
      <c r="C6" s="19" t="s">
        <v>54</v>
      </c>
      <c r="D6" s="19">
        <v>4502</v>
      </c>
      <c r="E6" s="19">
        <v>4502</v>
      </c>
      <c r="F6" s="19">
        <v>0</v>
      </c>
    </row>
    <row r="7" spans="1:6" x14ac:dyDescent="0.4">
      <c r="A7" s="19" t="s">
        <v>101</v>
      </c>
      <c r="B7" s="19">
        <v>-6009</v>
      </c>
      <c r="C7" s="19" t="s">
        <v>55</v>
      </c>
      <c r="D7" s="19">
        <v>6009</v>
      </c>
      <c r="E7" s="19">
        <v>6009</v>
      </c>
      <c r="F7" s="19">
        <v>0</v>
      </c>
    </row>
    <row r="8" spans="1:6" x14ac:dyDescent="0.4">
      <c r="A8" s="19" t="s">
        <v>102</v>
      </c>
      <c r="B8" s="19">
        <v>3008</v>
      </c>
      <c r="C8" s="19" t="s">
        <v>54</v>
      </c>
      <c r="D8" s="19">
        <v>3008</v>
      </c>
      <c r="E8" s="19">
        <v>3008</v>
      </c>
      <c r="F8" s="19">
        <v>0</v>
      </c>
    </row>
    <row r="9" spans="1:6" x14ac:dyDescent="0.4">
      <c r="A9" s="19" t="s">
        <v>103</v>
      </c>
      <c r="B9" s="19">
        <v>-2509</v>
      </c>
      <c r="C9" s="19" t="s">
        <v>55</v>
      </c>
      <c r="D9" s="19">
        <v>2509</v>
      </c>
      <c r="E9" s="19">
        <v>0</v>
      </c>
      <c r="F9" s="19">
        <v>2509</v>
      </c>
    </row>
    <row r="10" spans="1:6" x14ac:dyDescent="0.4">
      <c r="A10" s="19" t="s">
        <v>104</v>
      </c>
      <c r="B10" s="19">
        <v>-6000</v>
      </c>
      <c r="C10" s="19" t="s">
        <v>55</v>
      </c>
      <c r="D10" s="19">
        <v>6000</v>
      </c>
      <c r="E10" s="19">
        <v>5501</v>
      </c>
      <c r="F10" s="19">
        <v>499</v>
      </c>
    </row>
  </sheetData>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16"/>
  <sheetViews>
    <sheetView showGridLines="0" zoomScaleNormal="100" workbookViewId="0"/>
  </sheetViews>
  <sheetFormatPr defaultColWidth="8.69140625" defaultRowHeight="14.6" x14ac:dyDescent="0.4"/>
  <cols>
    <col min="1" max="1" width="182.69140625" bestFit="1" customWidth="1"/>
    <col min="2" max="2" width="15.15234375" bestFit="1" customWidth="1"/>
  </cols>
  <sheetData>
    <row r="1" spans="1:2" ht="18.45" x14ac:dyDescent="0.5">
      <c r="A1" s="30" t="s">
        <v>56</v>
      </c>
    </row>
    <row r="2" spans="1:2" ht="27.75" customHeight="1" x14ac:dyDescent="0.4">
      <c r="A2" s="32" t="s">
        <v>105</v>
      </c>
    </row>
    <row r="4" spans="1:2" x14ac:dyDescent="0.4">
      <c r="A4" t="s">
        <v>57</v>
      </c>
      <c r="B4">
        <v>19510</v>
      </c>
    </row>
    <row r="5" spans="1:2" x14ac:dyDescent="0.4">
      <c r="A5" t="s">
        <v>58</v>
      </c>
      <c r="B5">
        <v>22518</v>
      </c>
    </row>
    <row r="6" spans="1:2" x14ac:dyDescent="0.4">
      <c r="A6" t="s">
        <v>59</v>
      </c>
      <c r="B6">
        <v>42028</v>
      </c>
    </row>
    <row r="7" spans="1:2" x14ac:dyDescent="0.4">
      <c r="A7" t="s">
        <v>60</v>
      </c>
      <c r="B7">
        <v>39020</v>
      </c>
    </row>
    <row r="8" spans="1:2" x14ac:dyDescent="0.4">
      <c r="A8" t="s">
        <v>61</v>
      </c>
      <c r="B8">
        <v>3008</v>
      </c>
    </row>
    <row r="9" spans="1:2" x14ac:dyDescent="0.4">
      <c r="A9" t="s">
        <v>106</v>
      </c>
      <c r="B9" s="33">
        <v>11.71875</v>
      </c>
    </row>
    <row r="10" spans="1:2" x14ac:dyDescent="0.4">
      <c r="A10" t="s">
        <v>107</v>
      </c>
      <c r="B10" s="34">
        <v>492515.625</v>
      </c>
    </row>
    <row r="11" spans="1:2" x14ac:dyDescent="0.4">
      <c r="A11" t="s">
        <v>108</v>
      </c>
      <c r="B11" s="34">
        <v>0</v>
      </c>
    </row>
    <row r="12" spans="1:2" x14ac:dyDescent="0.4">
      <c r="A12" t="s">
        <v>109</v>
      </c>
      <c r="B12" s="34">
        <v>35250</v>
      </c>
    </row>
    <row r="13" spans="1:2" x14ac:dyDescent="0.4">
      <c r="A13" t="s">
        <v>110</v>
      </c>
      <c r="B13" s="34">
        <v>457265.625</v>
      </c>
    </row>
    <row r="14" spans="1:2" x14ac:dyDescent="0.4">
      <c r="A14" t="s">
        <v>62</v>
      </c>
      <c r="B14" s="35">
        <v>0.92842866660321688</v>
      </c>
    </row>
    <row r="15" spans="1:2" x14ac:dyDescent="0.4">
      <c r="A15" t="s">
        <v>63</v>
      </c>
      <c r="B15">
        <v>5</v>
      </c>
    </row>
    <row r="16" spans="1:2" x14ac:dyDescent="0.4">
      <c r="A16" t="s">
        <v>64</v>
      </c>
      <c r="B16" s="36">
        <v>46268.965324074074</v>
      </c>
    </row>
  </sheetData>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I25"/>
  <sheetViews>
    <sheetView showGridLines="0" zoomScaleNormal="100" workbookViewId="0"/>
  </sheetViews>
  <sheetFormatPr defaultColWidth="8.69140625" defaultRowHeight="14.6" x14ac:dyDescent="0.4"/>
  <cols>
    <col min="1" max="1" width="46.61328125" bestFit="1" customWidth="1"/>
    <col min="2" max="2" width="8.15234375" style="37" bestFit="1" customWidth="1"/>
    <col min="3" max="3" width="4.921875" bestFit="1" customWidth="1"/>
    <col min="4" max="4" width="14.23046875" bestFit="1" customWidth="1"/>
    <col min="5" max="5" width="11.921875" bestFit="1" customWidth="1"/>
    <col min="6" max="6" width="11.765625" style="34" bestFit="1" customWidth="1"/>
    <col min="7" max="7" width="14.921875" bestFit="1" customWidth="1"/>
    <col min="8" max="8" width="13.61328125" bestFit="1" customWidth="1"/>
    <col min="9" max="9" width="8.84375" bestFit="1" customWidth="1"/>
  </cols>
  <sheetData>
    <row r="1" spans="1:9" ht="18.45" x14ac:dyDescent="0.5">
      <c r="A1" s="30" t="s">
        <v>65</v>
      </c>
    </row>
    <row r="3" spans="1:9" x14ac:dyDescent="0.4">
      <c r="A3" s="31" t="s">
        <v>66</v>
      </c>
      <c r="B3" s="38" t="s">
        <v>67</v>
      </c>
      <c r="C3" s="31" t="s">
        <v>68</v>
      </c>
      <c r="D3" s="31" t="s">
        <v>69</v>
      </c>
      <c r="E3" s="31" t="s">
        <v>70</v>
      </c>
      <c r="F3" s="40" t="s">
        <v>71</v>
      </c>
      <c r="G3" s="31" t="s">
        <v>72</v>
      </c>
      <c r="H3" s="31" t="s">
        <v>73</v>
      </c>
      <c r="I3" s="31" t="s">
        <v>114</v>
      </c>
    </row>
    <row r="4" spans="1:9" x14ac:dyDescent="0.4">
      <c r="A4" s="19" t="s">
        <v>24</v>
      </c>
      <c r="B4" s="39">
        <v>-8000</v>
      </c>
      <c r="C4" s="19"/>
      <c r="D4" s="19" t="s">
        <v>98</v>
      </c>
      <c r="E4" s="19" t="s">
        <v>99</v>
      </c>
      <c r="F4" s="41">
        <v>800000000</v>
      </c>
      <c r="G4" s="19" t="s">
        <v>74</v>
      </c>
      <c r="H4" s="19" t="s">
        <v>97</v>
      </c>
      <c r="I4" s="19" t="s">
        <v>115</v>
      </c>
    </row>
    <row r="5" spans="1:9" x14ac:dyDescent="0.4">
      <c r="A5" s="19" t="s">
        <v>27</v>
      </c>
      <c r="B5" s="39">
        <v>8000</v>
      </c>
      <c r="C5" s="19"/>
      <c r="D5" s="19" t="s">
        <v>98</v>
      </c>
      <c r="E5" s="19" t="s">
        <v>99</v>
      </c>
      <c r="F5" s="41">
        <v>800000000</v>
      </c>
      <c r="G5" s="19" t="s">
        <v>74</v>
      </c>
      <c r="H5" s="19" t="s">
        <v>97</v>
      </c>
      <c r="I5" s="19" t="s">
        <v>115</v>
      </c>
    </row>
    <row r="6" spans="1:9" x14ac:dyDescent="0.4">
      <c r="A6" s="19" t="s">
        <v>24</v>
      </c>
      <c r="B6" s="39">
        <v>8000</v>
      </c>
      <c r="C6" s="19"/>
      <c r="D6" s="19" t="s">
        <v>99</v>
      </c>
      <c r="E6" s="19" t="s">
        <v>98</v>
      </c>
      <c r="F6" s="41">
        <v>800000000</v>
      </c>
      <c r="G6" s="19" t="s">
        <v>74</v>
      </c>
      <c r="H6" s="19" t="s">
        <v>97</v>
      </c>
      <c r="I6" s="19" t="s">
        <v>115</v>
      </c>
    </row>
    <row r="7" spans="1:9" x14ac:dyDescent="0.4">
      <c r="A7" s="19" t="s">
        <v>27</v>
      </c>
      <c r="B7" s="39">
        <v>-8000</v>
      </c>
      <c r="C7" s="19"/>
      <c r="D7" s="19" t="s">
        <v>99</v>
      </c>
      <c r="E7" s="19" t="s">
        <v>98</v>
      </c>
      <c r="F7" s="41">
        <v>800000000</v>
      </c>
      <c r="G7" s="19" t="s">
        <v>74</v>
      </c>
      <c r="H7" s="19" t="s">
        <v>97</v>
      </c>
      <c r="I7" s="19" t="s">
        <v>115</v>
      </c>
    </row>
    <row r="8" spans="1:9" x14ac:dyDescent="0.4">
      <c r="A8" s="19" t="s">
        <v>24</v>
      </c>
      <c r="B8" s="39">
        <v>-4000</v>
      </c>
      <c r="C8" s="19"/>
      <c r="D8" s="19" t="s">
        <v>98</v>
      </c>
      <c r="E8" s="19" t="s">
        <v>101</v>
      </c>
      <c r="F8" s="41">
        <v>400000000</v>
      </c>
      <c r="G8" s="19" t="s">
        <v>74</v>
      </c>
      <c r="H8" s="19" t="s">
        <v>97</v>
      </c>
      <c r="I8" s="19" t="s">
        <v>116</v>
      </c>
    </row>
    <row r="9" spans="1:9" x14ac:dyDescent="0.4">
      <c r="A9" s="19" t="s">
        <v>27</v>
      </c>
      <c r="B9" s="39">
        <v>4000</v>
      </c>
      <c r="C9" s="19"/>
      <c r="D9" s="19" t="s">
        <v>98</v>
      </c>
      <c r="E9" s="19" t="s">
        <v>101</v>
      </c>
      <c r="F9" s="41">
        <v>400000000</v>
      </c>
      <c r="G9" s="19" t="s">
        <v>74</v>
      </c>
      <c r="H9" s="19" t="s">
        <v>97</v>
      </c>
      <c r="I9" s="19" t="s">
        <v>116</v>
      </c>
    </row>
    <row r="10" spans="1:9" x14ac:dyDescent="0.4">
      <c r="A10" s="19" t="s">
        <v>24</v>
      </c>
      <c r="B10" s="39">
        <v>4000</v>
      </c>
      <c r="C10" s="19"/>
      <c r="D10" s="19" t="s">
        <v>101</v>
      </c>
      <c r="E10" s="19" t="s">
        <v>98</v>
      </c>
      <c r="F10" s="41">
        <v>400000000</v>
      </c>
      <c r="G10" s="19" t="s">
        <v>74</v>
      </c>
      <c r="H10" s="19" t="s">
        <v>97</v>
      </c>
      <c r="I10" s="19" t="s">
        <v>116</v>
      </c>
    </row>
    <row r="11" spans="1:9" x14ac:dyDescent="0.4">
      <c r="A11" s="19" t="s">
        <v>27</v>
      </c>
      <c r="B11" s="39">
        <v>-4000</v>
      </c>
      <c r="C11" s="19"/>
      <c r="D11" s="19" t="s">
        <v>101</v>
      </c>
      <c r="E11" s="19" t="s">
        <v>98</v>
      </c>
      <c r="F11" s="41">
        <v>400000000</v>
      </c>
      <c r="G11" s="19" t="s">
        <v>74</v>
      </c>
      <c r="H11" s="19" t="s">
        <v>97</v>
      </c>
      <c r="I11" s="19" t="s">
        <v>116</v>
      </c>
    </row>
    <row r="12" spans="1:9" x14ac:dyDescent="0.4">
      <c r="A12" s="19" t="s">
        <v>24</v>
      </c>
      <c r="B12" s="39">
        <v>-2009</v>
      </c>
      <c r="C12" s="19"/>
      <c r="D12" s="19" t="s">
        <v>100</v>
      </c>
      <c r="E12" s="19" t="s">
        <v>101</v>
      </c>
      <c r="F12" s="41">
        <v>200900000</v>
      </c>
      <c r="G12" s="19" t="s">
        <v>74</v>
      </c>
      <c r="H12" s="19" t="s">
        <v>97</v>
      </c>
      <c r="I12" s="19" t="s">
        <v>117</v>
      </c>
    </row>
    <row r="13" spans="1:9" x14ac:dyDescent="0.4">
      <c r="A13" s="19" t="s">
        <v>27</v>
      </c>
      <c r="B13" s="39">
        <v>2009</v>
      </c>
      <c r="C13" s="19"/>
      <c r="D13" s="19" t="s">
        <v>100</v>
      </c>
      <c r="E13" s="19" t="s">
        <v>101</v>
      </c>
      <c r="F13" s="41">
        <v>200900000</v>
      </c>
      <c r="G13" s="19" t="s">
        <v>74</v>
      </c>
      <c r="H13" s="19" t="s">
        <v>97</v>
      </c>
      <c r="I13" s="19" t="s">
        <v>117</v>
      </c>
    </row>
    <row r="14" spans="1:9" x14ac:dyDescent="0.4">
      <c r="A14" s="19" t="s">
        <v>24</v>
      </c>
      <c r="B14" s="39">
        <v>2009</v>
      </c>
      <c r="C14" s="19"/>
      <c r="D14" s="19" t="s">
        <v>101</v>
      </c>
      <c r="E14" s="19" t="s">
        <v>100</v>
      </c>
      <c r="F14" s="41">
        <v>200900000</v>
      </c>
      <c r="G14" s="19" t="s">
        <v>74</v>
      </c>
      <c r="H14" s="19" t="s">
        <v>97</v>
      </c>
      <c r="I14" s="19" t="s">
        <v>117</v>
      </c>
    </row>
    <row r="15" spans="1:9" ht="15" customHeight="1" x14ac:dyDescent="0.4">
      <c r="A15" s="19" t="s">
        <v>27</v>
      </c>
      <c r="B15" s="39">
        <v>-2009</v>
      </c>
      <c r="C15" s="19"/>
      <c r="D15" s="19" t="s">
        <v>101</v>
      </c>
      <c r="E15" s="19" t="s">
        <v>100</v>
      </c>
      <c r="F15" s="41">
        <v>200900000</v>
      </c>
      <c r="G15" s="19" t="s">
        <v>74</v>
      </c>
      <c r="H15" s="19" t="s">
        <v>97</v>
      </c>
      <c r="I15" s="19" t="s">
        <v>117</v>
      </c>
    </row>
    <row r="16" spans="1:9" x14ac:dyDescent="0.4">
      <c r="A16" s="19" t="s">
        <v>24</v>
      </c>
      <c r="B16" s="39">
        <v>-2493</v>
      </c>
      <c r="C16" s="19"/>
      <c r="D16" s="19" t="s">
        <v>100</v>
      </c>
      <c r="E16" s="19" t="s">
        <v>104</v>
      </c>
      <c r="F16" s="41">
        <v>249300000</v>
      </c>
      <c r="G16" s="19" t="s">
        <v>74</v>
      </c>
      <c r="H16" s="19" t="s">
        <v>97</v>
      </c>
      <c r="I16" s="19" t="s">
        <v>118</v>
      </c>
    </row>
    <row r="17" spans="1:9" x14ac:dyDescent="0.4">
      <c r="A17" s="19" t="s">
        <v>27</v>
      </c>
      <c r="B17" s="39">
        <v>2493</v>
      </c>
      <c r="C17" s="19"/>
      <c r="D17" s="19" t="s">
        <v>100</v>
      </c>
      <c r="E17" s="19" t="s">
        <v>104</v>
      </c>
      <c r="F17" s="41">
        <v>249300000</v>
      </c>
      <c r="G17" s="19" t="s">
        <v>74</v>
      </c>
      <c r="H17" s="19" t="s">
        <v>97</v>
      </c>
      <c r="I17" s="19" t="s">
        <v>118</v>
      </c>
    </row>
    <row r="18" spans="1:9" x14ac:dyDescent="0.4">
      <c r="A18" s="19" t="s">
        <v>24</v>
      </c>
      <c r="B18" s="39">
        <v>2493</v>
      </c>
      <c r="C18" s="19"/>
      <c r="D18" s="19" t="s">
        <v>104</v>
      </c>
      <c r="E18" s="19" t="s">
        <v>100</v>
      </c>
      <c r="F18" s="41">
        <v>249300000</v>
      </c>
      <c r="G18" s="19" t="s">
        <v>74</v>
      </c>
      <c r="H18" s="19" t="s">
        <v>97</v>
      </c>
      <c r="I18" s="19" t="s">
        <v>118</v>
      </c>
    </row>
    <row r="19" spans="1:9" x14ac:dyDescent="0.4">
      <c r="A19" s="19" t="s">
        <v>27</v>
      </c>
      <c r="B19" s="39">
        <v>-2493</v>
      </c>
      <c r="C19" s="19"/>
      <c r="D19" s="19" t="s">
        <v>104</v>
      </c>
      <c r="E19" s="19" t="s">
        <v>100</v>
      </c>
      <c r="F19" s="41">
        <v>249300000</v>
      </c>
      <c r="G19" s="19" t="s">
        <v>74</v>
      </c>
      <c r="H19" s="19" t="s">
        <v>97</v>
      </c>
      <c r="I19" s="19" t="s">
        <v>118</v>
      </c>
    </row>
    <row r="20" spans="1:9" x14ac:dyDescent="0.4">
      <c r="A20" s="19" t="s">
        <v>24</v>
      </c>
      <c r="B20" s="39">
        <v>-3008</v>
      </c>
      <c r="C20" s="19"/>
      <c r="D20" s="19" t="s">
        <v>102</v>
      </c>
      <c r="E20" s="19" t="s">
        <v>104</v>
      </c>
      <c r="F20" s="41">
        <v>300800000</v>
      </c>
      <c r="G20" s="19" t="s">
        <v>74</v>
      </c>
      <c r="H20" s="19" t="s">
        <v>97</v>
      </c>
      <c r="I20" s="19" t="s">
        <v>119</v>
      </c>
    </row>
    <row r="21" spans="1:9" x14ac:dyDescent="0.4">
      <c r="A21" s="19" t="s">
        <v>27</v>
      </c>
      <c r="B21" s="39">
        <v>3008</v>
      </c>
      <c r="C21" s="19"/>
      <c r="D21" s="19" t="s">
        <v>102</v>
      </c>
      <c r="E21" s="19" t="s">
        <v>104</v>
      </c>
      <c r="F21" s="41">
        <v>300800000</v>
      </c>
      <c r="G21" s="19" t="s">
        <v>74</v>
      </c>
      <c r="H21" s="19" t="s">
        <v>97</v>
      </c>
      <c r="I21" s="19" t="s">
        <v>119</v>
      </c>
    </row>
    <row r="22" spans="1:9" x14ac:dyDescent="0.4">
      <c r="A22" s="19" t="s">
        <v>24</v>
      </c>
      <c r="B22" s="39">
        <v>3008</v>
      </c>
      <c r="C22" s="19"/>
      <c r="D22" s="19" t="s">
        <v>104</v>
      </c>
      <c r="E22" s="19" t="s">
        <v>102</v>
      </c>
      <c r="F22" s="41">
        <v>300800000</v>
      </c>
      <c r="G22" s="19" t="s">
        <v>74</v>
      </c>
      <c r="H22" s="19" t="s">
        <v>97</v>
      </c>
      <c r="I22" s="19" t="s">
        <v>119</v>
      </c>
    </row>
    <row r="23" spans="1:9" x14ac:dyDescent="0.4">
      <c r="A23" s="19" t="s">
        <v>27</v>
      </c>
      <c r="B23" s="39">
        <v>-3008</v>
      </c>
      <c r="C23" s="19"/>
      <c r="D23" s="19" t="s">
        <v>104</v>
      </c>
      <c r="E23" s="19" t="s">
        <v>102</v>
      </c>
      <c r="F23" s="41">
        <v>300800000</v>
      </c>
      <c r="G23" s="19" t="s">
        <v>74</v>
      </c>
      <c r="H23" s="19" t="s">
        <v>97</v>
      </c>
      <c r="I23" s="19" t="s">
        <v>119</v>
      </c>
    </row>
    <row r="24" spans="1:9" x14ac:dyDescent="0.4">
      <c r="A24" s="19" t="s">
        <v>24</v>
      </c>
      <c r="B24" s="39">
        <v>3008</v>
      </c>
      <c r="C24" s="19"/>
      <c r="D24" s="19" t="s">
        <v>75</v>
      </c>
      <c r="E24" s="19" t="s">
        <v>76</v>
      </c>
      <c r="F24" s="41">
        <v>300800000</v>
      </c>
      <c r="G24" s="19" t="s">
        <v>97</v>
      </c>
      <c r="H24" s="19" t="s">
        <v>97</v>
      </c>
      <c r="I24" s="19" t="s">
        <v>120</v>
      </c>
    </row>
    <row r="25" spans="1:9" x14ac:dyDescent="0.4">
      <c r="A25" s="19" t="s">
        <v>27</v>
      </c>
      <c r="B25" s="39">
        <v>-3008</v>
      </c>
      <c r="C25" s="19"/>
      <c r="D25" s="19" t="s">
        <v>75</v>
      </c>
      <c r="E25" s="19" t="s">
        <v>76</v>
      </c>
      <c r="F25" s="41">
        <v>300800000</v>
      </c>
      <c r="G25" s="19" t="s">
        <v>97</v>
      </c>
      <c r="H25" s="19" t="s">
        <v>97</v>
      </c>
      <c r="I25" s="19" t="s">
        <v>120</v>
      </c>
    </row>
  </sheetData>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J50"/>
  <sheetViews>
    <sheetView showGridLines="0" topLeftCell="A19" zoomScaleNormal="100" workbookViewId="0">
      <selection sqref="A1:J1"/>
    </sheetView>
  </sheetViews>
  <sheetFormatPr defaultColWidth="8.69140625" defaultRowHeight="14.6" x14ac:dyDescent="0.4"/>
  <cols>
    <col min="1" max="1" width="16" customWidth="1"/>
    <col min="2" max="2" width="14" customWidth="1"/>
    <col min="3" max="3" width="3" customWidth="1"/>
  </cols>
  <sheetData>
    <row r="1" spans="1:10" ht="33.75" customHeight="1" x14ac:dyDescent="0.4">
      <c r="A1" s="14" t="s">
        <v>77</v>
      </c>
      <c r="B1" s="14"/>
      <c r="C1" s="14"/>
      <c r="D1" s="14"/>
      <c r="E1" s="14"/>
      <c r="F1" s="14"/>
      <c r="G1" s="14"/>
      <c r="H1" s="14"/>
      <c r="I1" s="14"/>
      <c r="J1" s="14"/>
    </row>
    <row r="2" spans="1:10" ht="18" customHeight="1" x14ac:dyDescent="0.4">
      <c r="A2" s="13" t="s">
        <v>78</v>
      </c>
      <c r="B2" s="13"/>
      <c r="C2" s="13"/>
      <c r="D2" s="13"/>
      <c r="E2" s="13"/>
      <c r="F2" s="13"/>
      <c r="G2" s="13"/>
      <c r="H2" s="13"/>
      <c r="I2" s="13"/>
      <c r="J2" s="13"/>
    </row>
    <row r="4" spans="1:10" x14ac:dyDescent="0.4">
      <c r="A4" s="1" t="s">
        <v>79</v>
      </c>
      <c r="B4" s="1"/>
      <c r="C4" s="1"/>
      <c r="D4" s="1"/>
      <c r="E4" s="1"/>
      <c r="F4" s="1"/>
      <c r="G4" s="1"/>
      <c r="H4" s="1"/>
      <c r="I4" s="1"/>
      <c r="J4" s="1"/>
    </row>
    <row r="6" spans="1:10" x14ac:dyDescent="0.4">
      <c r="A6" s="43" t="s">
        <v>80</v>
      </c>
      <c r="B6" s="43"/>
    </row>
    <row r="7" spans="1:10" x14ac:dyDescent="0.4">
      <c r="A7" s="43" t="s">
        <v>81</v>
      </c>
      <c r="B7" s="43">
        <v>19510</v>
      </c>
    </row>
    <row r="8" spans="1:10" x14ac:dyDescent="0.4">
      <c r="A8" s="43" t="s">
        <v>82</v>
      </c>
      <c r="B8" s="43">
        <v>3008</v>
      </c>
    </row>
    <row r="9" spans="1:10" x14ac:dyDescent="0.4">
      <c r="A9" s="43"/>
      <c r="B9" s="43"/>
    </row>
    <row r="10" spans="1:10" x14ac:dyDescent="0.4">
      <c r="A10" s="43"/>
      <c r="B10" s="43"/>
    </row>
    <row r="11" spans="1:10" x14ac:dyDescent="0.4">
      <c r="A11" s="43" t="s">
        <v>8</v>
      </c>
      <c r="B11" s="43" t="s">
        <v>83</v>
      </c>
    </row>
    <row r="12" spans="1:10" x14ac:dyDescent="0.4">
      <c r="A12" s="43" t="s">
        <v>10</v>
      </c>
      <c r="B12" s="44">
        <v>492515.625</v>
      </c>
    </row>
    <row r="13" spans="1:10" x14ac:dyDescent="0.4">
      <c r="A13" s="43" t="s">
        <v>11</v>
      </c>
      <c r="B13" s="44">
        <v>35250</v>
      </c>
    </row>
    <row r="14" spans="1:10" x14ac:dyDescent="0.4">
      <c r="A14" s="43"/>
      <c r="B14" s="43"/>
    </row>
    <row r="15" spans="1:10" x14ac:dyDescent="0.4">
      <c r="A15" s="43"/>
      <c r="B15" s="43"/>
    </row>
    <row r="16" spans="1:10" x14ac:dyDescent="0.4">
      <c r="A16" s="43"/>
      <c r="B16" s="43"/>
    </row>
    <row r="17" spans="1:2" x14ac:dyDescent="0.4">
      <c r="A17" s="43"/>
      <c r="B17" s="43"/>
    </row>
    <row r="18" spans="1:2" x14ac:dyDescent="0.4">
      <c r="A18" s="43"/>
      <c r="B18" s="43"/>
    </row>
    <row r="19" spans="1:2" x14ac:dyDescent="0.4">
      <c r="A19" s="43"/>
      <c r="B19" s="43"/>
    </row>
    <row r="20" spans="1:2" x14ac:dyDescent="0.4">
      <c r="A20" s="43"/>
      <c r="B20" s="43"/>
    </row>
    <row r="48" spans="1:10" ht="15" customHeight="1" x14ac:dyDescent="0.4">
      <c r="A48" s="4" t="s">
        <v>84</v>
      </c>
      <c r="B48" s="4"/>
      <c r="C48" s="4"/>
      <c r="D48" s="4"/>
      <c r="E48" s="4"/>
      <c r="F48" s="4"/>
      <c r="G48" s="4"/>
      <c r="H48" s="4"/>
      <c r="I48" s="4"/>
      <c r="J48" s="4"/>
    </row>
    <row r="49" spans="1:10" x14ac:dyDescent="0.4">
      <c r="A49" s="4"/>
      <c r="B49" s="4"/>
      <c r="C49" s="4"/>
      <c r="D49" s="4"/>
      <c r="E49" s="4"/>
      <c r="F49" s="4"/>
      <c r="G49" s="4"/>
      <c r="H49" s="4"/>
      <c r="I49" s="4"/>
      <c r="J49" s="4"/>
    </row>
    <row r="50" spans="1:10" x14ac:dyDescent="0.4">
      <c r="A50" s="4"/>
      <c r="B50" s="4"/>
      <c r="C50" s="4"/>
      <c r="D50" s="4"/>
      <c r="E50" s="4"/>
      <c r="F50" s="4"/>
      <c r="G50" s="4"/>
      <c r="H50" s="4"/>
      <c r="I50" s="4"/>
      <c r="J50" s="4"/>
    </row>
  </sheetData>
  <mergeCells count="4">
    <mergeCell ref="A1:J1"/>
    <mergeCell ref="A2:J2"/>
    <mergeCell ref="A4:J4"/>
    <mergeCell ref="A48:J50"/>
  </mergeCells>
  <pageMargins left="0.75" right="0.75" top="1" bottom="1" header="0.511811023622047" footer="0.511811023622047"/>
  <pageSetup scale="69" orientation="landscape" horizontalDpi="300" verticalDpi="3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14"/>
  <sheetViews>
    <sheetView showGridLines="0" zoomScaleNormal="100" workbookViewId="0"/>
  </sheetViews>
  <sheetFormatPr defaultColWidth="8.69140625" defaultRowHeight="14.6" x14ac:dyDescent="0.4"/>
  <cols>
    <col min="1" max="1" width="100" customWidth="1"/>
  </cols>
  <sheetData>
    <row r="1" spans="1:1" ht="33.75" customHeight="1" x14ac:dyDescent="0.4">
      <c r="A1" s="15" t="s">
        <v>85</v>
      </c>
    </row>
    <row r="4" spans="1:1" ht="18" customHeight="1" x14ac:dyDescent="0.4">
      <c r="A4" s="17" t="s">
        <v>86</v>
      </c>
    </row>
    <row r="5" spans="1:1" ht="18" customHeight="1" x14ac:dyDescent="0.4">
      <c r="A5" s="17" t="s">
        <v>87</v>
      </c>
    </row>
    <row r="6" spans="1:1" ht="18" customHeight="1" x14ac:dyDescent="0.4">
      <c r="A6" s="17" t="s">
        <v>88</v>
      </c>
    </row>
    <row r="7" spans="1:1" ht="33.75" customHeight="1" x14ac:dyDescent="0.4">
      <c r="A7" s="17" t="s">
        <v>89</v>
      </c>
    </row>
    <row r="8" spans="1:1" ht="33.75" customHeight="1" x14ac:dyDescent="0.4">
      <c r="A8" s="17" t="s">
        <v>90</v>
      </c>
    </row>
    <row r="9" spans="1:1" ht="33.75" customHeight="1" x14ac:dyDescent="0.4">
      <c r="A9" s="17" t="s">
        <v>91</v>
      </c>
    </row>
    <row r="10" spans="1:1" ht="33.75" customHeight="1" x14ac:dyDescent="0.4">
      <c r="A10" s="17" t="s">
        <v>92</v>
      </c>
    </row>
    <row r="11" spans="1:1" ht="33.75" customHeight="1" x14ac:dyDescent="0.4">
      <c r="A11" s="17" t="s">
        <v>93</v>
      </c>
    </row>
    <row r="12" spans="1:1" ht="33.75" customHeight="1" x14ac:dyDescent="0.4">
      <c r="A12" s="17" t="s">
        <v>94</v>
      </c>
    </row>
    <row r="13" spans="1:1" ht="18" customHeight="1" x14ac:dyDescent="0.4">
      <c r="A13" s="17"/>
    </row>
    <row r="14" spans="1:1" ht="33.75" customHeight="1" x14ac:dyDescent="0.4">
      <c r="A14" s="17" t="s">
        <v>95</v>
      </c>
    </row>
  </sheetData>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Dashboard</vt:lpstr>
      <vt:lpstr>Inputs</vt:lpstr>
      <vt:lpstr>Blotter</vt:lpstr>
      <vt:lpstr>Market Orders</vt:lpstr>
      <vt:lpstr>Desk Summary</vt:lpstr>
      <vt:lpstr>Cost Savings</vt:lpstr>
      <vt:lpstr>Back Office Orders</vt:lpstr>
      <vt:lpstr>Reports</vt:lpstr>
      <vt:lpstr>Setup</vt:lpstr>
      <vt:lpstr>ClearBroker</vt:lpstr>
      <vt:lpstr>ContractNotional</vt:lpstr>
      <vt:lpstr>CrossingFee</vt:lpstr>
      <vt:lpstr>Currency</vt:lpstr>
      <vt:lpstr>DecCode</vt:lpstr>
      <vt:lpstr>ExecBroker</vt:lpstr>
      <vt:lpstr>HalfSpreadTicks</vt:lpstr>
      <vt:lpstr>ImpactTicks</vt:lpstr>
      <vt:lpstr>Reports!Print_Area</vt:lpstr>
      <vt:lpstr>SepCode</vt:lpstr>
      <vt:lpstr>TickValue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Lemurx@usal.es</cp:lastModifiedBy>
  <cp:revision>1</cp:revision>
  <dcterms:created xsi:type="dcterms:W3CDTF">2026-09-03T21:19:51Z</dcterms:created>
  <dcterms:modified xsi:type="dcterms:W3CDTF">2026-09-03T22:10:46Z</dcterms:modified>
  <dc:language>en-US</dc:language>
</cp:coreProperties>
</file>